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da\Desktop\"/>
    </mc:Choice>
  </mc:AlternateContent>
  <xr:revisionPtr revIDLastSave="0" documentId="13_ncr:1_{A6A7C379-BD49-4C38-8641-7CEB686E8032}" xr6:coauthVersionLast="47" xr6:coauthVersionMax="47" xr10:uidLastSave="{00000000-0000-0000-0000-000000000000}"/>
  <bookViews>
    <workbookView xWindow="2190" yWindow="1110" windowWidth="20970" windowHeight="12600" xr2:uid="{93A2D1B5-4FC8-4AF9-A8B1-CFBE4797F6E9}"/>
  </bookViews>
  <sheets>
    <sheet name="各指标得分情况" sheetId="1" r:id="rId1"/>
    <sheet name="统计与得分" sheetId="3" r:id="rId2"/>
    <sheet name="指标表" sheetId="2" r:id="rId3"/>
  </sheets>
  <definedNames>
    <definedName name="_xlnm._FilterDatabase" localSheetId="0" hidden="1">各指标得分情况!$A$1:$G$118</definedName>
    <definedName name="_xlnm._FilterDatabase" localSheetId="2" hidden="1">指标表!$A$1:$H$118</definedName>
  </definedNames>
  <calcPr calcId="18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2" l="1"/>
  <c r="H3" i="2"/>
  <c r="C5" i="2"/>
  <c r="B3" i="2"/>
  <c r="B4" i="2" s="1"/>
  <c r="B5" i="2" s="1"/>
  <c r="B6" i="2" s="1"/>
  <c r="B7" i="2" s="1"/>
  <c r="C7" i="2"/>
  <c r="A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H5" i="2"/>
  <c r="H6" i="2"/>
  <c r="H7" i="2" s="1"/>
  <c r="H8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C10" i="2"/>
  <c r="C11" i="2" s="1"/>
  <c r="C12" i="2" s="1"/>
  <c r="C13" i="2" s="1"/>
  <c r="H10" i="2"/>
  <c r="H12" i="2"/>
  <c r="C15" i="2"/>
  <c r="C16" i="2" s="1"/>
  <c r="C17" i="2" s="1"/>
  <c r="C18" i="2" s="1"/>
  <c r="H17" i="2"/>
  <c r="C20" i="2"/>
  <c r="C21" i="2" s="1"/>
  <c r="C22" i="2" s="1"/>
  <c r="H19" i="2"/>
  <c r="H20" i="2" s="1"/>
  <c r="H21" i="2" s="1"/>
  <c r="C24" i="2"/>
  <c r="C25" i="2" s="1"/>
  <c r="C26" i="2" s="1"/>
  <c r="C27" i="2" s="1"/>
  <c r="C28" i="2" s="1"/>
  <c r="B24" i="2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C30" i="2"/>
  <c r="C31" i="2" s="1"/>
  <c r="C32" i="2" s="1"/>
  <c r="C33" i="2" s="1"/>
  <c r="C34" i="2" s="1"/>
  <c r="H29" i="2"/>
  <c r="H30" i="2" s="1"/>
  <c r="H32" i="2"/>
  <c r="H34" i="2"/>
  <c r="A24" i="2"/>
  <c r="A25" i="2"/>
  <c r="A26" i="2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B36" i="2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C38" i="2"/>
  <c r="H37" i="2"/>
  <c r="H38" i="2" s="1"/>
  <c r="H39" i="2" s="1"/>
  <c r="C40" i="2"/>
  <c r="C41" i="2" s="1"/>
  <c r="C42" i="2" s="1"/>
  <c r="C44" i="2"/>
  <c r="C45" i="2"/>
  <c r="C46" i="2" s="1"/>
  <c r="C47" i="2" s="1"/>
  <c r="H44" i="2"/>
  <c r="H45" i="2" s="1"/>
  <c r="H46" i="2" s="1"/>
  <c r="C49" i="2"/>
  <c r="C50" i="2" s="1"/>
  <c r="C51" i="2" s="1"/>
  <c r="H50" i="2"/>
  <c r="H51" i="2" s="1"/>
  <c r="B49" i="2"/>
  <c r="B50" i="2"/>
  <c r="B51" i="2" s="1"/>
  <c r="B52" i="2" s="1"/>
  <c r="B53" i="2" s="1"/>
  <c r="B54" i="2" s="1"/>
  <c r="B55" i="2" s="1"/>
  <c r="C53" i="2"/>
  <c r="C54" i="2" s="1"/>
  <c r="C55" i="2" s="1"/>
  <c r="H56" i="2"/>
  <c r="H57" i="2" s="1"/>
  <c r="H58" i="2" s="1"/>
  <c r="C57" i="2"/>
  <c r="C58" i="2" s="1"/>
  <c r="C59" i="2" s="1"/>
  <c r="C60" i="2" s="1"/>
  <c r="C61" i="2" s="1"/>
  <c r="H60" i="2"/>
  <c r="H61" i="2" s="1"/>
  <c r="B57" i="2"/>
  <c r="B58" i="2" s="1"/>
  <c r="B59" i="2" s="1"/>
  <c r="B60" i="2" s="1"/>
  <c r="B61" i="2" s="1"/>
  <c r="B62" i="2" s="1"/>
  <c r="B63" i="2" s="1"/>
  <c r="B64" i="2" s="1"/>
  <c r="B65" i="2" s="1"/>
  <c r="C63" i="2"/>
  <c r="C64" i="2" s="1"/>
  <c r="C65" i="2" s="1"/>
  <c r="A49" i="2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H63" i="2"/>
  <c r="H64" i="2"/>
  <c r="H65" i="2" s="1"/>
  <c r="H66" i="2" s="1"/>
  <c r="B67" i="2"/>
  <c r="B68" i="2" s="1"/>
  <c r="B69" i="2" s="1"/>
  <c r="B70" i="2" s="1"/>
  <c r="B71" i="2" s="1"/>
  <c r="B72" i="2" s="1"/>
  <c r="B73" i="2" s="1"/>
  <c r="C67" i="2"/>
  <c r="C68" i="2" s="1"/>
  <c r="C70" i="2"/>
  <c r="C71" i="2" s="1"/>
  <c r="H70" i="2"/>
  <c r="H71" i="2" s="1"/>
  <c r="H72" i="2" s="1"/>
  <c r="C73" i="2"/>
  <c r="C75" i="2"/>
  <c r="B75" i="2"/>
  <c r="B76" i="2" s="1"/>
  <c r="B77" i="2" s="1"/>
  <c r="B78" i="2" s="1"/>
  <c r="B79" i="2" s="1"/>
  <c r="H74" i="2"/>
  <c r="H75" i="2" s="1"/>
  <c r="H76" i="2" s="1"/>
  <c r="C77" i="2"/>
  <c r="C78" i="2" s="1"/>
  <c r="C79" i="2" s="1"/>
  <c r="A75" i="2"/>
  <c r="A76" i="2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B81" i="2"/>
  <c r="C81" i="2"/>
  <c r="B82" i="2"/>
  <c r="B83" i="2" s="1"/>
  <c r="B84" i="2" s="1"/>
  <c r="B85" i="2" s="1"/>
  <c r="B86" i="2" s="1"/>
  <c r="B87" i="2" s="1"/>
  <c r="B88" i="2" s="1"/>
  <c r="C82" i="2"/>
  <c r="C84" i="2"/>
  <c r="C85" i="2" s="1"/>
  <c r="C87" i="2"/>
  <c r="C88" i="2" s="1"/>
  <c r="H80" i="2"/>
  <c r="H81" i="2"/>
  <c r="H82" i="2" s="1"/>
  <c r="H83" i="2" s="1"/>
  <c r="H84" i="2" s="1"/>
  <c r="H85" i="2" s="1"/>
  <c r="H86" i="2" s="1"/>
  <c r="H87" i="2" s="1"/>
  <c r="H88" i="2" s="1"/>
  <c r="H90" i="2"/>
  <c r="C91" i="2"/>
  <c r="C92" i="2" s="1"/>
  <c r="C93" i="2" s="1"/>
  <c r="B90" i="2"/>
  <c r="B91" i="2" s="1"/>
  <c r="B92" i="2" s="1"/>
  <c r="B93" i="2" s="1"/>
  <c r="B94" i="2" s="1"/>
  <c r="B95" i="2" s="1"/>
  <c r="B96" i="2" s="1"/>
  <c r="B97" i="2" s="1"/>
  <c r="B98" i="2" s="1"/>
  <c r="C95" i="2"/>
  <c r="C96" i="2" s="1"/>
  <c r="C97" i="2" s="1"/>
  <c r="C98" i="2" s="1"/>
  <c r="A90" i="2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H93" i="2"/>
  <c r="H94" i="2"/>
  <c r="H95" i="2"/>
  <c r="H96" i="2" s="1"/>
  <c r="H97" i="2" s="1"/>
  <c r="H98" i="2" s="1"/>
  <c r="H99" i="2" s="1"/>
  <c r="B100" i="2"/>
  <c r="B101" i="2" s="1"/>
  <c r="B102" i="2" s="1"/>
  <c r="B103" i="2" s="1"/>
  <c r="B104" i="2" s="1"/>
  <c r="B105" i="2" s="1"/>
  <c r="B106" i="2" s="1"/>
  <c r="B107" i="2" s="1"/>
  <c r="B108" i="2" s="1"/>
  <c r="C100" i="2"/>
  <c r="C101" i="2" s="1"/>
  <c r="H101" i="2"/>
  <c r="C103" i="2"/>
  <c r="C104" i="2"/>
  <c r="C105" i="2" s="1"/>
  <c r="H104" i="2"/>
  <c r="C107" i="2"/>
  <c r="C108" i="2"/>
  <c r="B110" i="2"/>
  <c r="B111" i="2" s="1"/>
  <c r="B112" i="2" s="1"/>
  <c r="C110" i="2"/>
  <c r="C111" i="2" s="1"/>
  <c r="C112" i="2" s="1"/>
  <c r="H107" i="2"/>
  <c r="H108" i="2" s="1"/>
  <c r="H109" i="2" s="1"/>
  <c r="H110" i="2" s="1"/>
  <c r="H112" i="2"/>
  <c r="A110" i="2"/>
  <c r="A111" i="2" s="1"/>
  <c r="A112" i="2" s="1"/>
  <c r="A113" i="2" s="1"/>
  <c r="A114" i="2" s="1"/>
  <c r="A115" i="2" s="1"/>
  <c r="A116" i="2" s="1"/>
  <c r="A117" i="2" s="1"/>
  <c r="A118" i="2" s="1"/>
  <c r="B114" i="2"/>
  <c r="B115" i="2" s="1"/>
  <c r="B116" i="2" s="1"/>
  <c r="B117" i="2" s="1"/>
  <c r="B118" i="2" s="1"/>
  <c r="C114" i="2"/>
  <c r="C116" i="2"/>
  <c r="C117" i="2" s="1"/>
  <c r="C118" i="2" s="1"/>
  <c r="H116" i="2"/>
  <c r="H117" i="2" s="1"/>
  <c r="H118" i="2" s="1"/>
</calcChain>
</file>

<file path=xl/sharedStrings.xml><?xml version="1.0" encoding="utf-8"?>
<sst xmlns="http://schemas.openxmlformats.org/spreadsheetml/2006/main" count="955" uniqueCount="357">
  <si>
    <t>领域</t>
  </si>
  <si>
    <t>子领域</t>
  </si>
  <si>
    <t>目标</t>
  </si>
  <si>
    <t>指标名称</t>
  </si>
  <si>
    <t>表现行为描述</t>
  </si>
  <si>
    <t>身心状态</t>
  </si>
  <si>
    <t>具有健康的体态</t>
  </si>
  <si>
    <t>身高体重</t>
  </si>
  <si>
    <t>男孩身高105.50-118.60厘米，体重16.34-23.15千克；
女孩身高103.60-116.70厘米，体重15.50-21.70千克</t>
  </si>
  <si>
    <t>健康与体能</t>
  </si>
  <si>
    <t>保持坐立行</t>
  </si>
  <si>
    <t>在提醒下，能保持良好的站姿、坐姿和走路姿势。</t>
  </si>
  <si>
    <t>情绪安定愉快</t>
  </si>
  <si>
    <t>愉快又安定</t>
  </si>
  <si>
    <t>经常保持愉快、稳定的情绪，能在较短时间内缓解消极情绪。</t>
  </si>
  <si>
    <t>过激情绪能缓和</t>
  </si>
  <si>
    <t>情绪过激时，能在提醒下逐渐缓和。</t>
  </si>
  <si>
    <t>具有一定的适应能力</t>
  </si>
  <si>
    <t>坚持户外活动</t>
  </si>
  <si>
    <t>能在较热或较冷的天气坚持户外活动半小时左右。</t>
  </si>
  <si>
    <t>适应新环境</t>
  </si>
  <si>
    <t>变化换新环境时身体状况基本正常，较少出现身体不适。</t>
  </si>
  <si>
    <t>动作发展</t>
  </si>
  <si>
    <t>对运动感兴趣</t>
  </si>
  <si>
    <t>运动感兴趣</t>
  </si>
  <si>
    <t>能用自己喜欢的运动器械和材料锻炼身体。</t>
  </si>
  <si>
    <t>具有一定的平衡能力，动作协调、灵敏</t>
  </si>
  <si>
    <t>平稳行走</t>
  </si>
  <si>
    <t>能在较低较窄的物体比较平稳地走一段距离。</t>
  </si>
  <si>
    <t>上下肢协调</t>
  </si>
  <si>
    <t>能以匍匐、膝盖悬空等多种方式钻爬。</t>
  </si>
  <si>
    <t>跨跳能平稳</t>
  </si>
  <si>
    <t>能以助跑的方式跨跳一定距离或一定高度的物体。</t>
  </si>
  <si>
    <t>躲闪灵敏</t>
  </si>
  <si>
    <t>跑动中能控制速度、方向，追逐或躲闪他人。</t>
  </si>
  <si>
    <t>拍球</t>
  </si>
  <si>
    <t>能连续拍球和自抛自接球。</t>
  </si>
  <si>
    <t>具有一定的力量和耐力</t>
  </si>
  <si>
    <t>抓杠悬垂</t>
  </si>
  <si>
    <t>能双手抓杠，身体悬空下垂15秒左右。</t>
  </si>
  <si>
    <t>挥臂向前投掷</t>
  </si>
  <si>
    <t>能单手挥臂向前投掷4米左右。</t>
  </si>
  <si>
    <t>连续行进跳</t>
  </si>
  <si>
    <t>能单脚连续向前行进跳5米左右。</t>
  </si>
  <si>
    <t>定向快跑</t>
  </si>
  <si>
    <t>能向指定方向快跑20米左右。</t>
  </si>
  <si>
    <t>远足步行</t>
  </si>
  <si>
    <t>远足时能连续步行1500米左右的路程。</t>
  </si>
  <si>
    <t>手的动作灵活、协调</t>
  </si>
  <si>
    <t>使用餐具</t>
  </si>
  <si>
    <t>能使用筷子。</t>
  </si>
  <si>
    <t>使用画笔</t>
  </si>
  <si>
    <t>能用笔沿边线较直地画出简单图形，或折纸时边线能基本对齐。</t>
  </si>
  <si>
    <t>使用剪刀</t>
  </si>
  <si>
    <t>能剪出由直线构成的简单图形，边线吻合。</t>
  </si>
  <si>
    <t>使用材料与工具</t>
  </si>
  <si>
    <t>能用泥巴等材料进行简单的塑型。</t>
  </si>
  <si>
    <t>习惯与自理</t>
  </si>
  <si>
    <t>生活习惯和能力</t>
  </si>
  <si>
    <t>具有基本的生活自理能力和良好的生活与卫生习惯</t>
  </si>
  <si>
    <t>作息起居</t>
  </si>
  <si>
    <t>每天能按时起居，坚持午睡，保持11小时左右的睡眠时间。</t>
  </si>
  <si>
    <t>饮食习惯</t>
  </si>
  <si>
    <t>不偏食、不挑食，不暴饮暴食。</t>
  </si>
  <si>
    <t>饮水习惯</t>
  </si>
  <si>
    <t>能常喝白开水。</t>
  </si>
  <si>
    <t>盥洗习惯</t>
  </si>
  <si>
    <t>能每天早晚刷牙，饭前便后洗手，刷牙、洗手的方法基本正确。</t>
  </si>
  <si>
    <t>穿脱衣物</t>
  </si>
  <si>
    <t>能自己穿脱鞋袜、折叠衣服、并将衣服摆放整体。</t>
  </si>
  <si>
    <t>如厕习惯</t>
  </si>
  <si>
    <t>女孩小便后使用便纸。</t>
  </si>
  <si>
    <t>具有基本的自我保护能力</t>
  </si>
  <si>
    <t>安全规则与意识</t>
  </si>
  <si>
    <t>认识常见的安全标志，能遵守安全规则。</t>
  </si>
  <si>
    <t>隐私保护</t>
  </si>
  <si>
    <t>不让他人触碰自己身体的隐私部位。</t>
  </si>
  <si>
    <t>游戏运动安全</t>
  </si>
  <si>
    <t>运动和游戏时能主动躲避危险。</t>
  </si>
  <si>
    <t>走失会处理</t>
  </si>
  <si>
    <t>公共场所活动时不远离成人，走失或遇到紧急情况时知道简单的求助信息。</t>
  </si>
  <si>
    <t>保护五官</t>
  </si>
  <si>
    <t>不将异物放入口、鼻、耳中，知道保护眼睛的简单方法，在提醒下连续看电视不超过20分钟。</t>
  </si>
  <si>
    <t>逃生技能</t>
  </si>
  <si>
    <t>遇到危险时，能听从家长或教师的要求行动。</t>
  </si>
  <si>
    <t>学习习惯</t>
  </si>
  <si>
    <t>倾听习惯良好</t>
  </si>
  <si>
    <t>倾听有意识</t>
  </si>
  <si>
    <t>在集体中能有意识倾听与自己有关的信息。</t>
  </si>
  <si>
    <t>爱提问题</t>
  </si>
  <si>
    <t>喜欢接触新事物，对新事物充满好奇，喜欢提问。</t>
  </si>
  <si>
    <t>做事专注、坚持</t>
  </si>
  <si>
    <t>专注抗干扰</t>
  </si>
  <si>
    <t>活动中有注意力集中的时段。</t>
  </si>
  <si>
    <t>坚持不放弃</t>
  </si>
  <si>
    <t>遇到困难时，在鼓励下能继续进行活动。</t>
  </si>
  <si>
    <t>具有文明的言行举止</t>
  </si>
  <si>
    <t>咳嗽礼仪</t>
  </si>
  <si>
    <t>咳嗽、打喷嚏时能正确遮挡。</t>
  </si>
  <si>
    <t>回应有意愿</t>
  </si>
  <si>
    <t>能回应别人对自己说的话。</t>
  </si>
  <si>
    <t>音量语气恰当</t>
  </si>
  <si>
    <t>在提醒下，能根据场合调节自己说话的音量。</t>
  </si>
  <si>
    <t>说话有礼貌</t>
  </si>
  <si>
    <t>能在各种场合主动使用礼貌用语。</t>
  </si>
  <si>
    <t>遵守基本的行为规范</t>
  </si>
  <si>
    <t>遵守秩序</t>
  </si>
  <si>
    <t>能遵守幼儿园盥洗、用餐、饮水等活动秩序，人多时会等待。</t>
  </si>
  <si>
    <t>借物归还</t>
  </si>
  <si>
    <t>经同意才拿别人的东西，借了别人的东西能归还。</t>
  </si>
  <si>
    <t>爱护生活环境</t>
  </si>
  <si>
    <t>不乱扔垃圾，不乱涂乱画。</t>
  </si>
  <si>
    <t>节约资源</t>
  </si>
  <si>
    <t>在提醒下，能节约粮食、水电、纸等资源。</t>
  </si>
  <si>
    <t>物品自己理</t>
  </si>
  <si>
    <t>能收拾整理好自己使用的物品。</t>
  </si>
  <si>
    <t>自我与社会性</t>
  </si>
  <si>
    <t>自我意识</t>
  </si>
  <si>
    <t>知道自己和他人不同，接纳自我</t>
  </si>
  <si>
    <t>了解我身体</t>
  </si>
  <si>
    <t>能从身体特征上区别自己与他人。</t>
  </si>
  <si>
    <t>我有我独特</t>
  </si>
  <si>
    <t>能从爱好与兴趣等方面描述自己与他人。</t>
  </si>
  <si>
    <t>情绪表达</t>
  </si>
  <si>
    <t>出现消极情绪时，在提醒和指导下能克制自己的冲动。</t>
  </si>
  <si>
    <t>想法可不同</t>
  </si>
  <si>
    <t>活动中愿意倾听和接纳同伴的意见和建议。</t>
  </si>
  <si>
    <t>具有自尊、自信、自主的表现</t>
  </si>
  <si>
    <t>活动能自主</t>
  </si>
  <si>
    <t>能按自己的想法进行活动。</t>
  </si>
  <si>
    <t>我行我自豪</t>
  </si>
  <si>
    <t>能了解自己的优点和长处，并为此感到满意。</t>
  </si>
  <si>
    <t>独立不依赖</t>
  </si>
  <si>
    <t>自己的事情尽量自己做，不轻易依赖别人。</t>
  </si>
  <si>
    <t>任务能挑战</t>
  </si>
  <si>
    <t>愿意尝试有一定难度的活动和任务。</t>
  </si>
  <si>
    <t>人际交往</t>
  </si>
  <si>
    <t>愿意与人交往，能与同伴友好相处</t>
  </si>
  <si>
    <t>愿意交朋友</t>
  </si>
  <si>
    <t>喜欢和同伴共同游戏，有较稳定的玩伴。</t>
  </si>
  <si>
    <t>与成人交往</t>
  </si>
  <si>
    <t>喜欢和长辈交谈发生的事情。</t>
  </si>
  <si>
    <t>愿意主动寻求成人的陪伴、帮助或安慰。</t>
  </si>
  <si>
    <t>与同伴交往</t>
  </si>
  <si>
    <t>能运用简单的交往技巧加入同伴的游戏。</t>
  </si>
  <si>
    <t>冲突解决</t>
  </si>
  <si>
    <t>知道轮流、分享，会恰当妥协，能在成人帮助下和平解决与同伴之间的矛盾。</t>
  </si>
  <si>
    <t>谦让不受欺</t>
  </si>
  <si>
    <t>能谦让比自己幼小和体弱的同伴。</t>
  </si>
  <si>
    <t>关心和尊重他人</t>
  </si>
  <si>
    <t>礼貌相处</t>
  </si>
  <si>
    <t>能有礼貌地向长辈、他人表达自己的需求和想法。</t>
  </si>
  <si>
    <t>关心他人</t>
  </si>
  <si>
    <t>能注意到熟悉的人的情绪，并表现出关心和体贴。</t>
  </si>
  <si>
    <t>尊重接纳他人</t>
  </si>
  <si>
    <t>经提醒，能做到不打扰正在工作或做事的人。</t>
  </si>
  <si>
    <t>尊重劳动成果</t>
  </si>
  <si>
    <t>知道父母的工作及服务的辛苦。</t>
  </si>
  <si>
    <t>社会适应</t>
  </si>
  <si>
    <t>喜欢并适应群体生活</t>
  </si>
  <si>
    <t>参与集体生活</t>
  </si>
  <si>
    <t>能主动参加群体活动。</t>
  </si>
  <si>
    <t>喜欢集体生活</t>
  </si>
  <si>
    <t>愿意和家人一同参加与自己有关的社区活动。</t>
  </si>
  <si>
    <t>新人际环境</t>
  </si>
  <si>
    <t>面对新伙伴、新老师时，能适应所发生的变化，愿意参与活动。</t>
  </si>
  <si>
    <t>具有初步的归属感</t>
  </si>
  <si>
    <t>集体归属感</t>
  </si>
  <si>
    <t>喜欢自己的幼儿园和所在的班级，能积极参加集体活动。</t>
  </si>
  <si>
    <t>家乡我自豪</t>
  </si>
  <si>
    <t>知道自己的家所在的城市、区域及路名，了解当地著名的景观或特产。</t>
  </si>
  <si>
    <t>祖国我热爱</t>
  </si>
  <si>
    <t>知道自己的国籍，奏国歌、升国旗时能立正、行注目礼。</t>
  </si>
  <si>
    <t>感受和体验多元文化</t>
  </si>
  <si>
    <t>感受多元文化</t>
  </si>
  <si>
    <t>能感受不同地区语言、事物、服饰等特点。</t>
  </si>
  <si>
    <t>尊重多元文化</t>
  </si>
  <si>
    <t>对其他民族的人或外国人表现出自然、大方的态度。</t>
  </si>
  <si>
    <t>语言与交流</t>
  </si>
  <si>
    <t>理解与表达</t>
  </si>
  <si>
    <t>能听懂常用语言</t>
  </si>
  <si>
    <t>听懂话语和情境</t>
  </si>
  <si>
    <t>能结合情境感受和理解不同的语气、语调所表达的意思。</t>
  </si>
  <si>
    <t>听不懂能提问</t>
  </si>
  <si>
    <t>听不懂时能主动提问。</t>
  </si>
  <si>
    <t>愿意用语言进行交流并能清楚地表达</t>
  </si>
  <si>
    <t>愿意交流表达</t>
  </si>
  <si>
    <t>愿意与他人交流自己感兴趣的话题。</t>
  </si>
  <si>
    <t>发音清晰</t>
  </si>
  <si>
    <t>会说普通话及本民族或本地区的语言，发音较清晰。</t>
  </si>
  <si>
    <t>完整连贯表达</t>
  </si>
  <si>
    <t>能较完整地讲述自己的经历和见闻。</t>
  </si>
  <si>
    <t>清楚表达</t>
  </si>
  <si>
    <t>能使用较连贯的语言讲述故事。</t>
  </si>
  <si>
    <t>前阅读与前书写</t>
  </si>
  <si>
    <t>喜欢听故事，看图书</t>
  </si>
  <si>
    <t>自主阅读</t>
  </si>
  <si>
    <t>会反复翻阅自己喜欢的图书。</t>
  </si>
  <si>
    <t>阅读爱互动</t>
  </si>
  <si>
    <t>喜欢向别人讲述自己听过的故事或看过的图书。</t>
  </si>
  <si>
    <t>了解文字符号</t>
  </si>
  <si>
    <t>喜欢观察生活中常见的标识与符号，能感知和理解其表达的意义。</t>
  </si>
  <si>
    <t>具有初步的阅读理解能力</t>
  </si>
  <si>
    <t>故事能复述</t>
  </si>
  <si>
    <t>能大致说出所听故事的主要内容。</t>
  </si>
  <si>
    <t>阅读能理解</t>
  </si>
  <si>
    <t>能通过观察图书的连续画面，大致说出故事的主要情节。</t>
  </si>
  <si>
    <t>阅读能鉴赏</t>
  </si>
  <si>
    <t>能随着文学作品情节展开的进程，体会作品所表达的各种情绪、情感。</t>
  </si>
  <si>
    <t>具有书面表达的愿望和初步技能</t>
  </si>
  <si>
    <t>写画意愿</t>
  </si>
  <si>
    <t>能用图画和符号表达自己的愿望和想法。</t>
  </si>
  <si>
    <t>写画姿势</t>
  </si>
  <si>
    <t>在提醒下，画画、书写时姿势正确。</t>
  </si>
  <si>
    <t>识写我名字</t>
  </si>
  <si>
    <t>能认识自己的名字。</t>
  </si>
  <si>
    <t>探究与认知</t>
  </si>
  <si>
    <t>科学探究</t>
  </si>
  <si>
    <t>喜欢探究</t>
  </si>
  <si>
    <t>好奇好问好探究</t>
  </si>
  <si>
    <t>经常乐于动手、动脑，探索未知的事物。</t>
  </si>
  <si>
    <t>用一定的方法探究周围感兴趣的事物与现象</t>
  </si>
  <si>
    <t>观察比较与分析</t>
  </si>
  <si>
    <t>能观察、比较事物，发现其异同，并进行简单描述。</t>
  </si>
  <si>
    <t>思考猜测并验证</t>
  </si>
  <si>
    <t>能根据观察结果提出疑问，并运用已有经验大胆猜测。</t>
  </si>
  <si>
    <t>收集信息</t>
  </si>
  <si>
    <t>能通过简单调查，收集自己需要的相关信息。</t>
  </si>
  <si>
    <t>记录形式多样化</t>
  </si>
  <si>
    <t>能用图画或其他符号记录自己的探究过程或结果。</t>
  </si>
  <si>
    <t>在探究中认识事物与现象</t>
  </si>
  <si>
    <t>探究动植物</t>
  </si>
  <si>
    <t>能感知和发现生活中常见动植物生长变化的过程及所需的基本条件。</t>
  </si>
  <si>
    <t>探究物体材料</t>
  </si>
  <si>
    <t>探究物理现象</t>
  </si>
  <si>
    <t>能感知和发现光、影、磁、摩擦等简单物理现象。</t>
  </si>
  <si>
    <t>气候与生活</t>
  </si>
  <si>
    <t>能感知和发现不同季节的特点，体验季节的变化对动植物和人类生活产生的影响。</t>
  </si>
  <si>
    <t>科技与生活</t>
  </si>
  <si>
    <t>初步感知常用科技产品的用途与自己生活的关系。</t>
  </si>
  <si>
    <t>数学认知</t>
  </si>
  <si>
    <t>初步感知生活中数学的有用和有趣</t>
  </si>
  <si>
    <t>感知形状和空间</t>
  </si>
  <si>
    <t>感知运用数</t>
  </si>
  <si>
    <t>能用数学符号来描述事物，对环境中数字符号的各种意义有探究的兴趣。</t>
  </si>
  <si>
    <t>感知时间</t>
  </si>
  <si>
    <t>理解活动或事件发生的先后顺序，能用语言描述事情发生的前后经过。</t>
  </si>
  <si>
    <t>感知数、量及数量关系</t>
  </si>
  <si>
    <t>量的比较</t>
  </si>
  <si>
    <t>能感知和发现物体的粗细、厚薄、轻重等方面的差别，并用相应的词语描述。</t>
  </si>
  <si>
    <t>集合比较</t>
  </si>
  <si>
    <t>感知数量关系</t>
  </si>
  <si>
    <t>能借助实际情况和实物操作，理解数的大小和形成等。</t>
  </si>
  <si>
    <t>数的表述</t>
  </si>
  <si>
    <t>能使用数词来描述事物的排列顺序和位置。</t>
  </si>
  <si>
    <t>感知形状与空间关系</t>
  </si>
  <si>
    <t>形状认知</t>
  </si>
  <si>
    <t>能发现常见几何图形的基本特征并进行比较、分类。</t>
  </si>
  <si>
    <t>空间认知</t>
  </si>
  <si>
    <t>能使用“中间”“旁边”等各种方位词来描述物体的位置和运动方向。</t>
  </si>
  <si>
    <t>美感与表现</t>
  </si>
  <si>
    <t>感受与欣赏</t>
  </si>
  <si>
    <t>感受自然界与生活中美的事物</t>
  </si>
  <si>
    <t>感受视觉美</t>
  </si>
  <si>
    <t>在观赏大自然和生活环境中美的事物时，能关注其色彩、形态等特征。</t>
  </si>
  <si>
    <t>感受听觉美</t>
  </si>
  <si>
    <t>喜欢倾听大自然和生活环境中各种好听的声音，能感知和发现声音的长短、高低、强弱等变化。</t>
  </si>
  <si>
    <t>感受艺术美</t>
  </si>
  <si>
    <t>能专心观看自己喜欢的艺术表演或作品，并有模仿和参与的愿望。</t>
  </si>
  <si>
    <t>表达欣赏感受</t>
  </si>
  <si>
    <t>愿意参加美术、音乐、儿童文学等艺术欣赏活动，欣赏艺术作品时能产生相应的联想和情绪反应。</t>
  </si>
  <si>
    <t>表现与创造</t>
  </si>
  <si>
    <t>具有艺术表现的兴趣</t>
  </si>
  <si>
    <t>音乐感兴趣</t>
  </si>
  <si>
    <t>能经常唱唱跳跳，喜欢参加歌唱、律动、舞蹈、器乐弹奏等形式的活动。</t>
  </si>
  <si>
    <t>美工感兴趣</t>
  </si>
  <si>
    <t>喜欢运用绘画、捏泥、折纸等方式表现观察到的事物和自己的想象。</t>
  </si>
  <si>
    <t>具有初步的艺术表现与创造力</t>
  </si>
  <si>
    <t>歌唱表现</t>
  </si>
  <si>
    <t>律动表现</t>
  </si>
  <si>
    <t>能运用拍手、跺脚等动作，或敲击物品的方式来表现简单的节拍和基本节奏。</t>
  </si>
  <si>
    <t>表演表现</t>
  </si>
  <si>
    <t>能运用即兴哼唱、即兴表演或为熟悉的歌曲改编歌词等方式表达自己的心情。</t>
  </si>
  <si>
    <t>美术表现</t>
  </si>
  <si>
    <t>能运用绘画、捏泥、折纸等方式表现观察到的或想象的事物。</t>
  </si>
  <si>
    <t>是否达标</t>
  </si>
  <si>
    <t>备注</t>
  </si>
  <si>
    <t>能初步感知和发现常见材料的溶解、传热等性质及在生活中的用途。</t>
  </si>
  <si>
    <t>能感知事物的形状、方位，并用相应的词语来描述。</t>
  </si>
  <si>
    <t>能运用数数的方法比较两组物体的多少。</t>
  </si>
  <si>
    <t>能感知和发现物体的形体结构特征，并运用绘画、拼搭等方式表现物体的造型。</t>
  </si>
  <si>
    <t>能运用自然的声音、适中的音量和基本准确的音调唱歌。</t>
  </si>
  <si>
    <t>符合</t>
    <phoneticPr fontId="4" type="noConversion"/>
  </si>
  <si>
    <t>身高107cm，体重16kg，BMI偏轻</t>
    <phoneticPr fontId="4" type="noConversion"/>
  </si>
  <si>
    <t>相比上学期有明显提升，能够很快自我调节情绪</t>
    <phoneticPr fontId="4" type="noConversion"/>
  </si>
  <si>
    <t>喜欢出去散步时在马路牙子上保持平衡前行，有时候需要大人牵着</t>
    <phoneticPr fontId="4" type="noConversion"/>
  </si>
  <si>
    <t>不符合</t>
    <phoneticPr fontId="4" type="noConversion"/>
  </si>
  <si>
    <t>不同动作地衔接与组合不好，比较谨慎，不愿尝试稍微危险的动作</t>
    <phoneticPr fontId="4" type="noConversion"/>
  </si>
  <si>
    <t>拍球和抛不行，力量不足</t>
    <phoneticPr fontId="4" type="noConversion"/>
  </si>
  <si>
    <t>较符合</t>
    <phoneticPr fontId="4" type="noConversion"/>
  </si>
  <si>
    <t>可以挂垂，但不足15s</t>
    <phoneticPr fontId="4" type="noConversion"/>
  </si>
  <si>
    <t>可以单脚连续向前3步，1m左右</t>
    <phoneticPr fontId="4" type="noConversion"/>
  </si>
  <si>
    <t>投掷力量不足，可以扔沙包2m</t>
    <phoneticPr fontId="4" type="noConversion"/>
  </si>
  <si>
    <t>现在经常走一会儿就要求抱</t>
    <phoneticPr fontId="4" type="noConversion"/>
  </si>
  <si>
    <t>喜欢捏面团和粘土，做简单的手枪造型</t>
    <phoneticPr fontId="4" type="noConversion"/>
  </si>
  <si>
    <t>本学期的睡觉规律明显养成，会有意识自己犯困</t>
    <phoneticPr fontId="4" type="noConversion"/>
  </si>
  <si>
    <t>不愿意吃蔬菜，喜欢吃甜食和饮料</t>
    <phoneticPr fontId="4" type="noConversion"/>
  </si>
  <si>
    <t>尤其是天气热，会主动要求喝水</t>
    <phoneticPr fontId="4" type="noConversion"/>
  </si>
  <si>
    <t>自从长龋齿牙疼后，现在已经接受必须刷牙，并在督促下独立刷牙。自觉回家后、吃饭前主动吸收</t>
    <phoneticPr fontId="4" type="noConversion"/>
  </si>
  <si>
    <t>能够叠放整齐，但是很多时候依赖奶奶</t>
    <phoneticPr fontId="4" type="noConversion"/>
  </si>
  <si>
    <t>有时候偷懒不使用便纸</t>
    <phoneticPr fontId="4" type="noConversion"/>
  </si>
  <si>
    <t>安全意识很高</t>
    <phoneticPr fontId="4" type="noConversion"/>
  </si>
  <si>
    <t>有时候动画片单集太长会耍赖，大部分时间都严格遵循看2集共20分钟的要求。</t>
    <phoneticPr fontId="4" type="noConversion"/>
  </si>
  <si>
    <t>每次家里有新东西总会主动询问并摸索</t>
    <phoneticPr fontId="4" type="noConversion"/>
  </si>
  <si>
    <t>有一段时间抗拒与长辈交流，现在恢复大方外向的交往态度</t>
    <phoneticPr fontId="4" type="noConversion"/>
  </si>
  <si>
    <t>知道悄悄话和大声喊叫的使用场合</t>
    <phoneticPr fontId="4" type="noConversion"/>
  </si>
  <si>
    <t>大人主动提醒下会礼貌问好</t>
    <phoneticPr fontId="4" type="noConversion"/>
  </si>
  <si>
    <t>愿意排队等候</t>
    <phoneticPr fontId="4" type="noConversion"/>
  </si>
  <si>
    <t>每次出门前都愿意整理自己携带的小书包</t>
    <phoneticPr fontId="4" type="noConversion"/>
  </si>
  <si>
    <t>知道男女的身体性征不同</t>
    <phoneticPr fontId="4" type="noConversion"/>
  </si>
  <si>
    <t>回家后会说明同学的爱好</t>
    <phoneticPr fontId="4" type="noConversion"/>
  </si>
  <si>
    <t>比较有自己的想法</t>
    <phoneticPr fontId="4" type="noConversion"/>
  </si>
  <si>
    <t>对有难度的活动比较抗拒</t>
    <phoneticPr fontId="4" type="noConversion"/>
  </si>
  <si>
    <t>会主动进行自我介绍，询问是否可以加入游戏</t>
    <phoneticPr fontId="4" type="noConversion"/>
  </si>
  <si>
    <t>需要提醒</t>
    <phoneticPr fontId="4" type="noConversion"/>
  </si>
  <si>
    <t>做核酸</t>
    <phoneticPr fontId="4" type="noConversion"/>
  </si>
  <si>
    <t>能适应轮滑课</t>
    <phoneticPr fontId="4" type="noConversion"/>
  </si>
  <si>
    <t>现在不会说不愿意去幼儿园</t>
    <phoneticPr fontId="4" type="noConversion"/>
  </si>
  <si>
    <t>-</t>
    <phoneticPr fontId="4" type="noConversion"/>
  </si>
  <si>
    <t>好久未出苏州市</t>
    <phoneticPr fontId="4" type="noConversion"/>
  </si>
  <si>
    <t>不知道哪儿学的一嘴北方腔</t>
    <phoneticPr fontId="4" type="noConversion"/>
  </si>
  <si>
    <t>讲述的完整性还略欠缺</t>
    <phoneticPr fontId="4" type="noConversion"/>
  </si>
  <si>
    <t>超过2句就有些磕磕巴巴，意思偏离</t>
    <phoneticPr fontId="4" type="noConversion"/>
  </si>
  <si>
    <t>喜欢让爸爸动手做小实验</t>
    <phoneticPr fontId="4" type="noConversion"/>
  </si>
  <si>
    <t>缺乏评价场景</t>
    <phoneticPr fontId="4" type="noConversion"/>
  </si>
  <si>
    <t>做手工，同样是产生气泡，就会推测是因为洗洁精的缘故</t>
    <phoneticPr fontId="4" type="noConversion"/>
  </si>
  <si>
    <t>知道用恰当重量的物体形容自己力气大</t>
    <phoneticPr fontId="4" type="noConversion"/>
  </si>
  <si>
    <t>做对过20以内加法</t>
    <phoneticPr fontId="4" type="noConversion"/>
  </si>
  <si>
    <t>画画时能描绘出大体的结构</t>
    <phoneticPr fontId="4" type="noConversion"/>
  </si>
  <si>
    <t>模拟开车，知道左右方向</t>
    <phoneticPr fontId="4" type="noConversion"/>
  </si>
  <si>
    <t>会模仿动画片、儿童剧里的情节</t>
    <phoneticPr fontId="4" type="noConversion"/>
  </si>
  <si>
    <t>喜欢创编歌曲和舞蹈</t>
    <phoneticPr fontId="4" type="noConversion"/>
  </si>
  <si>
    <t>喜欢绘画，但不擅长手工</t>
    <phoneticPr fontId="4" type="noConversion"/>
  </si>
  <si>
    <t>唱歌能唱准音调</t>
    <phoneticPr fontId="4" type="noConversion"/>
  </si>
  <si>
    <t>会依赖大人去解决问题，不相信自己的能力</t>
    <phoneticPr fontId="4" type="noConversion"/>
  </si>
  <si>
    <t>听到他人议论自己的糗事会生气，听到表扬会感到很开心。愿意主动展示自己的特长</t>
    <phoneticPr fontId="4" type="noConversion"/>
  </si>
  <si>
    <t>对老师的要求不愿完全遵循，有自己的想法</t>
    <phoneticPr fontId="4" type="noConversion"/>
  </si>
  <si>
    <t>会用手指数数，3个以内马上说出</t>
    <phoneticPr fontId="4" type="noConversion"/>
  </si>
  <si>
    <t>行标签</t>
  </si>
  <si>
    <t>总计</t>
  </si>
  <si>
    <t>列标签</t>
  </si>
  <si>
    <t>-</t>
  </si>
  <si>
    <t>不符合</t>
  </si>
  <si>
    <t>符合</t>
  </si>
  <si>
    <t>较符合</t>
  </si>
  <si>
    <t>平均值项:是否达标2</t>
  </si>
  <si>
    <t>计数项:指标名称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</si>
</sst>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1" fillId="0" borderId="0"/>
    <xf numFmtId="0" fontId="5" fillId="0" borderId="0">
      <alignment vertical="center"/>
    </xf>
  </cellStyleXfs>
  <cellXfs count="59">
    <xf numFmtId="0" fontId="0" fillId="0" borderId="0" xfId="0">
      <alignment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left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left" vertical="center" wrapText="1"/>
    </xf>
    <xf numFmtId="0" fontId="6" fillId="4" borderId="1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2" borderId="2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6" fillId="2" borderId="2" xfId="2" applyFont="1" applyFill="1" applyBorder="1" applyAlignment="1">
      <alignment vertical="center" wrapText="1"/>
    </xf>
    <xf numFmtId="0" fontId="6" fillId="2" borderId="3" xfId="2" applyFont="1" applyFill="1" applyBorder="1" applyAlignment="1">
      <alignment vertical="center" wrapText="1"/>
    </xf>
    <xf numFmtId="0" fontId="6" fillId="2" borderId="4" xfId="2" applyFont="1" applyFill="1" applyBorder="1" applyAlignment="1">
      <alignment vertical="center" wrapText="1"/>
    </xf>
    <xf numFmtId="0" fontId="6" fillId="0" borderId="2" xfId="1" applyFont="1" applyFill="1" applyBorder="1" applyAlignment="1">
      <alignment vertical="center" wrapText="1"/>
    </xf>
    <xf numFmtId="0" fontId="6" fillId="0" borderId="3" xfId="1" applyFont="1" applyFill="1" applyBorder="1" applyAlignment="1">
      <alignment vertical="center" wrapText="1"/>
    </xf>
    <xf numFmtId="0" fontId="6" fillId="0" borderId="4" xfId="1" applyFont="1" applyFill="1" applyBorder="1" applyAlignment="1">
      <alignment vertical="center" wrapText="1"/>
    </xf>
    <xf numFmtId="0" fontId="6" fillId="2" borderId="2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vertical="center" wrapText="1"/>
    </xf>
    <xf numFmtId="0" fontId="6" fillId="2" borderId="4" xfId="1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5">
    <cellStyle name="常规" xfId="0" builtinId="0"/>
    <cellStyle name="常规 2" xfId="3" xr:uid="{1BAC72A8-D402-44E9-A727-7F7D622A4C70}"/>
    <cellStyle name="常规 3" xfId="1" xr:uid="{20299FFF-CEBD-49A1-A390-0AEC0EFEED62}"/>
    <cellStyle name="常规 4" xfId="2" xr:uid="{B59BCE8A-D224-4720-BFE5-8F6D0171ECCE}"/>
    <cellStyle name="常规 5" xfId="4" xr:uid="{B17471AC-1772-491F-A92C-81DDDFEF61C5}"/>
  </cellStyles>
  <dxfs count="22">
    <dxf>
      <numFmt numFmtId="182" formatCode="0.0"/>
    </dxf>
    <dxf>
      <numFmt numFmtId="1" formatCode="0"/>
    </dxf>
    <dxf>
      <numFmt numFmtId="182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1" formatCode="0.000"/>
    </dxf>
    <dxf>
      <numFmt numFmtId="2" formatCode="0.00"/>
    </dxf>
    <dxf>
      <numFmt numFmtId="181" formatCode="0.000"/>
    </dxf>
    <dxf>
      <numFmt numFmtId="180" formatCode="0.0000"/>
    </dxf>
    <dxf>
      <numFmt numFmtId="180" formatCode="0.0000"/>
    </dxf>
    <dxf>
      <numFmt numFmtId="179" formatCode="0.00000"/>
    </dxf>
    <dxf>
      <numFmt numFmtId="179" formatCode="0.00000"/>
    </dxf>
    <dxf>
      <numFmt numFmtId="178" formatCode="0.000000"/>
    </dxf>
    <dxf>
      <numFmt numFmtId="178" formatCode="0.000000"/>
    </dxf>
    <dxf>
      <numFmt numFmtId="177" formatCode="0.0000000"/>
    </dxf>
    <dxf>
      <numFmt numFmtId="177" formatCode="0.0000000"/>
    </dxf>
    <dxf>
      <numFmt numFmtId="176" formatCode="0.00000000"/>
    </dxf>
    <dxf>
      <numFmt numFmtId="176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an gao" refreshedDate="44736.707851736108" createdVersion="8" refreshedVersion="8" minRefreshableVersion="3" recordCount="117" xr:uid="{2BEA3718-22A9-4AE4-AC43-EF905510C739}">
  <cacheSource type="worksheet">
    <worksheetSource ref="A1:H118" sheet="指标表"/>
  </cacheSource>
  <cacheFields count="8">
    <cacheField name="领域" numFmtId="0">
      <sharedItems count="6">
        <s v="健康与体能"/>
        <s v="习惯与自理"/>
        <s v="自我与社会性"/>
        <s v="语言与交流"/>
        <s v="探究与认知"/>
        <s v="美感与表现"/>
      </sharedItems>
    </cacheField>
    <cacheField name="子领域" numFmtId="0">
      <sharedItems/>
    </cacheField>
    <cacheField name="目标" numFmtId="0">
      <sharedItems/>
    </cacheField>
    <cacheField name="指标名称" numFmtId="0">
      <sharedItems/>
    </cacheField>
    <cacheField name="表现行为描述" numFmtId="0">
      <sharedItems/>
    </cacheField>
    <cacheField name="是否达标" numFmtId="0">
      <sharedItems count="4">
        <s v="符合"/>
        <s v="不符合"/>
        <s v="较符合"/>
        <s v="-"/>
      </sharedItems>
    </cacheField>
    <cacheField name="是否达标2" numFmtId="0">
      <sharedItems containsMixedTypes="1" containsNumber="1" minValue="0" maxValue="1"/>
    </cacheField>
    <cacheField name="备注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x v="0"/>
    <s v="身心状态"/>
    <s v="具有健康的体态"/>
    <s v="身高体重"/>
    <s v="男孩身高105.50-118.60厘米，体重16.34-23.15千克；_x000a_女孩身高103.60-116.70厘米，体重15.50-21.70千克"/>
    <x v="0"/>
    <n v="1"/>
    <s v="身高107cm，体重16kg，BMI偏轻"/>
  </r>
  <r>
    <x v="0"/>
    <s v="身心状态"/>
    <s v="具有健康的体态"/>
    <s v="保持坐立行"/>
    <s v="在提醒下，能保持良好的站姿、坐姿和走路姿势。"/>
    <x v="0"/>
    <n v="1"/>
    <s v="身高107cm，体重16kg，BMI偏轻"/>
  </r>
  <r>
    <x v="0"/>
    <s v="身心状态"/>
    <s v="情绪安定愉快"/>
    <s v="愉快又安定"/>
    <s v="经常保持愉快、稳定的情绪，能在较短时间内缓解消极情绪。"/>
    <x v="0"/>
    <n v="1"/>
    <s v="相比上学期有明显提升，能够很快自我调节情绪"/>
  </r>
  <r>
    <x v="0"/>
    <s v="身心状态"/>
    <s v="情绪安定愉快"/>
    <s v="过激情绪能缓和"/>
    <s v="情绪过激时，能在提醒下逐渐缓和。"/>
    <x v="0"/>
    <n v="1"/>
    <s v="相比上学期有明显提升，能够很快自我调节情绪"/>
  </r>
  <r>
    <x v="0"/>
    <s v="身心状态"/>
    <s v="具有一定的适应能力"/>
    <s v="坚持户外活动"/>
    <s v="能在较热或较冷的天气坚持户外活动半小时左右。"/>
    <x v="0"/>
    <n v="1"/>
    <s v="相比上学期有明显提升，能够很快自我调节情绪"/>
  </r>
  <r>
    <x v="0"/>
    <s v="身心状态"/>
    <s v="具有一定的适应能力"/>
    <s v="适应新环境"/>
    <s v="变化换新环境时身体状况基本正常，较少出现身体不适。"/>
    <x v="0"/>
    <n v="1"/>
    <s v="相比上学期有明显提升，能够很快自我调节情绪"/>
  </r>
  <r>
    <x v="0"/>
    <s v="动作发展"/>
    <s v="对运动感兴趣"/>
    <s v="运动感兴趣"/>
    <s v="能用自己喜欢的运动器械和材料锻炼身体。"/>
    <x v="0"/>
    <n v="1"/>
    <s v="相比上学期有明显提升，能够很快自我调节情绪"/>
  </r>
  <r>
    <x v="0"/>
    <s v="动作发展"/>
    <s v="具有一定的平衡能力，动作协调、灵敏"/>
    <s v="平稳行走"/>
    <s v="能在较低较窄的物体比较平稳地走一段距离。"/>
    <x v="0"/>
    <n v="1"/>
    <s v="喜欢出去散步时在马路牙子上保持平衡前行，有时候需要大人牵着"/>
  </r>
  <r>
    <x v="0"/>
    <s v="动作发展"/>
    <s v="具有一定的平衡能力，动作协调、灵敏"/>
    <s v="上下肢协调"/>
    <s v="能以匍匐、膝盖悬空等多种方式钻爬。"/>
    <x v="0"/>
    <n v="1"/>
    <s v="喜欢出去散步时在马路牙子上保持平衡前行，有时候需要大人牵着"/>
  </r>
  <r>
    <x v="0"/>
    <s v="动作发展"/>
    <s v="具有一定的平衡能力，动作协调、灵敏"/>
    <s v="跨跳能平稳"/>
    <s v="能以助跑的方式跨跳一定距离或一定高度的物体。"/>
    <x v="1"/>
    <n v="0"/>
    <s v="不同动作地衔接与组合不好，比较谨慎，不愿尝试稍微危险的动作"/>
  </r>
  <r>
    <x v="0"/>
    <s v="动作发展"/>
    <s v="具有一定的平衡能力，动作协调、灵敏"/>
    <s v="躲闪灵敏"/>
    <s v="跑动中能控制速度、方向，追逐或躲闪他人。"/>
    <x v="0"/>
    <n v="1"/>
    <s v="不同动作地衔接与组合不好，比较谨慎，不愿尝试稍微危险的动作"/>
  </r>
  <r>
    <x v="0"/>
    <s v="动作发展"/>
    <s v="具有一定的平衡能力，动作协调、灵敏"/>
    <s v="拍球"/>
    <s v="能连续拍球和自抛自接球。"/>
    <x v="1"/>
    <n v="0"/>
    <s v="拍球和抛不行，力量不足"/>
  </r>
  <r>
    <x v="0"/>
    <s v="动作发展"/>
    <s v="具有一定的力量和耐力"/>
    <s v="抓杠悬垂"/>
    <s v="能双手抓杠，身体悬空下垂15秒左右。"/>
    <x v="2"/>
    <n v="0.5"/>
    <s v="可以挂垂，但不足15s"/>
  </r>
  <r>
    <x v="0"/>
    <s v="动作发展"/>
    <s v="具有一定的力量和耐力"/>
    <s v="挥臂向前投掷"/>
    <s v="能单手挥臂向前投掷4米左右。"/>
    <x v="1"/>
    <n v="0"/>
    <s v="投掷力量不足，可以扔沙包2m"/>
  </r>
  <r>
    <x v="0"/>
    <s v="动作发展"/>
    <s v="具有一定的力量和耐力"/>
    <s v="连续行进跳"/>
    <s v="能单脚连续向前行进跳5米左右。"/>
    <x v="1"/>
    <n v="0"/>
    <s v="可以单脚连续向前3步，1m左右"/>
  </r>
  <r>
    <x v="0"/>
    <s v="动作发展"/>
    <s v="具有一定的力量和耐力"/>
    <s v="定向快跑"/>
    <s v="能向指定方向快跑20米左右。"/>
    <x v="0"/>
    <n v="1"/>
    <s v="可以单脚连续向前3步，1m左右"/>
  </r>
  <r>
    <x v="0"/>
    <s v="动作发展"/>
    <s v="具有一定的力量和耐力"/>
    <s v="远足步行"/>
    <s v="远足时能连续步行1500米左右的路程。"/>
    <x v="2"/>
    <n v="0.5"/>
    <s v="现在经常走一会儿就要求抱"/>
  </r>
  <r>
    <x v="0"/>
    <s v="动作发展"/>
    <s v="手的动作灵活、协调"/>
    <s v="使用餐具"/>
    <s v="能使用筷子。"/>
    <x v="0"/>
    <n v="1"/>
    <s v="现在经常走一会儿就要求抱"/>
  </r>
  <r>
    <x v="0"/>
    <s v="动作发展"/>
    <s v="手的动作灵活、协调"/>
    <s v="使用画笔"/>
    <s v="能用笔沿边线较直地画出简单图形，或折纸时边线能基本对齐。"/>
    <x v="0"/>
    <n v="1"/>
    <s v="现在经常走一会儿就要求抱"/>
  </r>
  <r>
    <x v="0"/>
    <s v="动作发展"/>
    <s v="手的动作灵活、协调"/>
    <s v="使用剪刀"/>
    <s v="能剪出由直线构成的简单图形，边线吻合。"/>
    <x v="2"/>
    <n v="0.5"/>
    <s v="现在经常走一会儿就要求抱"/>
  </r>
  <r>
    <x v="0"/>
    <s v="动作发展"/>
    <s v="手的动作灵活、协调"/>
    <s v="使用材料与工具"/>
    <s v="能用泥巴等材料进行简单的塑型。"/>
    <x v="2"/>
    <n v="0.5"/>
    <s v="喜欢捏面团和粘土，做简单的手枪造型"/>
  </r>
  <r>
    <x v="1"/>
    <s v="生活习惯和能力"/>
    <s v="具有基本的生活自理能力和良好的生活与卫生习惯"/>
    <s v="作息起居"/>
    <s v="每天能按时起居，坚持午睡，保持11小时左右的睡眠时间。"/>
    <x v="0"/>
    <n v="1"/>
    <s v="本学期的睡觉规律明显养成，会有意识自己犯困"/>
  </r>
  <r>
    <x v="1"/>
    <s v="生活习惯和能力"/>
    <s v="具有基本的生活自理能力和良好的生活与卫生习惯"/>
    <s v="饮食习惯"/>
    <s v="不偏食、不挑食，不暴饮暴食。"/>
    <x v="1"/>
    <n v="0"/>
    <s v="不愿意吃蔬菜，喜欢吃甜食和饮料"/>
  </r>
  <r>
    <x v="1"/>
    <s v="生活习惯和能力"/>
    <s v="具有基本的生活自理能力和良好的生活与卫生习惯"/>
    <s v="饮水习惯"/>
    <s v="能常喝白开水。"/>
    <x v="0"/>
    <n v="1"/>
    <s v="尤其是天气热，会主动要求喝水"/>
  </r>
  <r>
    <x v="1"/>
    <s v="生活习惯和能力"/>
    <s v="具有基本的生活自理能力和良好的生活与卫生习惯"/>
    <s v="盥洗习惯"/>
    <s v="能每天早晚刷牙，饭前便后洗手，刷牙、洗手的方法基本正确。"/>
    <x v="0"/>
    <n v="1"/>
    <s v="自从长龋齿牙疼后，现在已经接受必须刷牙，并在督促下独立刷牙。自觉回家后、吃饭前主动吸收"/>
  </r>
  <r>
    <x v="1"/>
    <s v="生活习惯和能力"/>
    <s v="具有基本的生活自理能力和良好的生活与卫生习惯"/>
    <s v="穿脱衣物"/>
    <s v="能自己穿脱鞋袜、折叠衣服、并将衣服摆放整体。"/>
    <x v="2"/>
    <n v="0.5"/>
    <s v="能够叠放整齐，但是很多时候依赖奶奶"/>
  </r>
  <r>
    <x v="1"/>
    <s v="生活习惯和能力"/>
    <s v="具有基本的生活自理能力和良好的生活与卫生习惯"/>
    <s v="如厕习惯"/>
    <s v="女孩小便后使用便纸。"/>
    <x v="2"/>
    <n v="0.5"/>
    <s v="有时候偷懒不使用便纸"/>
  </r>
  <r>
    <x v="1"/>
    <s v="生活习惯和能力"/>
    <s v="具有基本的自我保护能力"/>
    <s v="安全规则与意识"/>
    <s v="认识常见的安全标志，能遵守安全规则。"/>
    <x v="0"/>
    <n v="1"/>
    <s v="有时候偷懒不使用便纸"/>
  </r>
  <r>
    <x v="1"/>
    <s v="生活习惯和能力"/>
    <s v="具有基本的自我保护能力"/>
    <s v="隐私保护"/>
    <s v="不让他人触碰自己身体的隐私部位。"/>
    <x v="0"/>
    <n v="1"/>
    <s v="有时候偷懒不使用便纸"/>
  </r>
  <r>
    <x v="1"/>
    <s v="生活习惯和能力"/>
    <s v="具有基本的自我保护能力"/>
    <s v="游戏运动安全"/>
    <s v="运动和游戏时能主动躲避危险。"/>
    <x v="0"/>
    <n v="1"/>
    <s v="安全意识很高"/>
  </r>
  <r>
    <x v="1"/>
    <s v="生活习惯和能力"/>
    <s v="具有基本的自我保护能力"/>
    <s v="走失会处理"/>
    <s v="公共场所活动时不远离成人，走失或遇到紧急情况时知道简单的求助信息。"/>
    <x v="0"/>
    <n v="1"/>
    <s v="安全意识很高"/>
  </r>
  <r>
    <x v="1"/>
    <s v="生活习惯和能力"/>
    <s v="具有基本的自我保护能力"/>
    <s v="保护五官"/>
    <s v="不将异物放入口、鼻、耳中，知道保护眼睛的简单方法，在提醒下连续看电视不超过20分钟。"/>
    <x v="0"/>
    <n v="1"/>
    <s v="有时候动画片单集太长会耍赖，大部分时间都严格遵循看2集共20分钟的要求。"/>
  </r>
  <r>
    <x v="1"/>
    <s v="生活习惯和能力"/>
    <s v="具有基本的自我保护能力"/>
    <s v="逃生技能"/>
    <s v="遇到危险时，能听从家长或教师的要求行动。"/>
    <x v="0"/>
    <n v="1"/>
    <s v="有时候动画片单集太长会耍赖，大部分时间都严格遵循看2集共20分钟的要求。"/>
  </r>
  <r>
    <x v="1"/>
    <s v="学习习惯"/>
    <s v="倾听习惯良好"/>
    <s v="倾听有意识"/>
    <s v="在集体中能有意识倾听与自己有关的信息。"/>
    <x v="2"/>
    <n v="0.5"/>
    <s v="对老师的要求不愿完全遵循，有自己的想法"/>
  </r>
  <r>
    <x v="1"/>
    <s v="学习习惯"/>
    <s v="爱提问题"/>
    <s v="爱提问题"/>
    <s v="喜欢接触新事物，对新事物充满好奇，喜欢提问。"/>
    <x v="0"/>
    <n v="1"/>
    <s v="每次家里有新东西总会主动询问并摸索"/>
  </r>
  <r>
    <x v="1"/>
    <s v="学习习惯"/>
    <s v="做事专注、坚持"/>
    <s v="专注抗干扰"/>
    <s v="活动中有注意力集中的时段。"/>
    <x v="0"/>
    <n v="1"/>
    <s v="每次家里有新东西总会主动询问并摸索"/>
  </r>
  <r>
    <x v="1"/>
    <s v="学习习惯"/>
    <s v="做事专注、坚持"/>
    <s v="坚持不放弃"/>
    <s v="遇到困难时，在鼓励下能继续进行活动。"/>
    <x v="0"/>
    <n v="1"/>
    <s v="每次家里有新东西总会主动询问并摸索"/>
  </r>
  <r>
    <x v="1"/>
    <s v="学习习惯"/>
    <s v="具有文明的言行举止"/>
    <s v="咳嗽礼仪"/>
    <s v="咳嗽、打喷嚏时能正确遮挡。"/>
    <x v="0"/>
    <n v="1"/>
    <s v="每次家里有新东西总会主动询问并摸索"/>
  </r>
  <r>
    <x v="1"/>
    <s v="学习习惯"/>
    <s v="具有文明的言行举止"/>
    <s v="回应有意愿"/>
    <s v="能回应别人对自己说的话。"/>
    <x v="0"/>
    <n v="1"/>
    <s v="有一段时间抗拒与长辈交流，现在恢复大方外向的交往态度"/>
  </r>
  <r>
    <x v="1"/>
    <s v="学习习惯"/>
    <s v="具有文明的言行举止"/>
    <s v="音量语气恰当"/>
    <s v="在提醒下，能根据场合调节自己说话的音量。"/>
    <x v="0"/>
    <n v="1"/>
    <s v="知道悄悄话和大声喊叫的使用场合"/>
  </r>
  <r>
    <x v="1"/>
    <s v="学习习惯"/>
    <s v="具有文明的言行举止"/>
    <s v="说话有礼貌"/>
    <s v="能在各种场合主动使用礼貌用语。"/>
    <x v="2"/>
    <n v="0.5"/>
    <s v="大人主动提醒下会礼貌问好"/>
  </r>
  <r>
    <x v="1"/>
    <s v="学习习惯"/>
    <s v="遵守基本的行为规范"/>
    <s v="遵守秩序"/>
    <s v="能遵守幼儿园盥洗、用餐、饮水等活动秩序，人多时会等待。"/>
    <x v="0"/>
    <n v="1"/>
    <s v="愿意排队等候"/>
  </r>
  <r>
    <x v="1"/>
    <s v="学习习惯"/>
    <s v="遵守基本的行为规范"/>
    <s v="借物归还"/>
    <s v="经同意才拿别人的东西，借了别人的东西能归还。"/>
    <x v="0"/>
    <n v="1"/>
    <s v="愿意排队等候"/>
  </r>
  <r>
    <x v="1"/>
    <s v="学习习惯"/>
    <s v="遵守基本的行为规范"/>
    <s v="爱护生活环境"/>
    <s v="不乱扔垃圾，不乱涂乱画。"/>
    <x v="0"/>
    <n v="1"/>
    <s v="愿意排队等候"/>
  </r>
  <r>
    <x v="1"/>
    <s v="学习习惯"/>
    <s v="遵守基本的行为规范"/>
    <s v="节约资源"/>
    <s v="在提醒下，能节约粮食、水电、纸等资源。"/>
    <x v="0"/>
    <n v="1"/>
    <s v="愿意排队等候"/>
  </r>
  <r>
    <x v="1"/>
    <s v="学习习惯"/>
    <s v="遵守基本的行为规范"/>
    <s v="物品自己理"/>
    <s v="能收拾整理好自己使用的物品。"/>
    <x v="0"/>
    <n v="1"/>
    <s v="每次出门前都愿意整理自己携带的小书包"/>
  </r>
  <r>
    <x v="2"/>
    <s v="自我意识"/>
    <s v="知道自己和他人不同，接纳自我"/>
    <s v="了解我身体"/>
    <s v="能从身体特征上区别自己与他人。"/>
    <x v="0"/>
    <n v="1"/>
    <s v="知道男女的身体性征不同"/>
  </r>
  <r>
    <x v="2"/>
    <s v="自我意识"/>
    <s v="知道自己和他人不同，接纳自我"/>
    <s v="我有我独特"/>
    <s v="能从爱好与兴趣等方面描述自己与他人。"/>
    <x v="0"/>
    <n v="1"/>
    <s v="回家后会说明同学的爱好"/>
  </r>
  <r>
    <x v="2"/>
    <s v="自我意识"/>
    <s v="知道自己和他人不同，接纳自我"/>
    <s v="情绪表达"/>
    <s v="出现消极情绪时，在提醒和指导下能克制自己的冲动。"/>
    <x v="0"/>
    <n v="1"/>
    <s v="回家后会说明同学的爱好"/>
  </r>
  <r>
    <x v="2"/>
    <s v="自我意识"/>
    <s v="知道自己和他人不同，接纳自我"/>
    <s v="想法可不同"/>
    <s v="活动中愿意倾听和接纳同伴的意见和建议。"/>
    <x v="0"/>
    <n v="1"/>
    <s v="回家后会说明同学的爱好"/>
  </r>
  <r>
    <x v="2"/>
    <s v="自我意识"/>
    <s v="具有自尊、自信、自主的表现"/>
    <s v="活动能自主"/>
    <s v="能按自己的想法进行活动。"/>
    <x v="0"/>
    <n v="1"/>
    <s v="比较有自己的想法"/>
  </r>
  <r>
    <x v="2"/>
    <s v="自我意识"/>
    <s v="具有自尊、自信、自主的表现"/>
    <s v="我行我自豪"/>
    <s v="能了解自己的优点和长处，并为此感到满意。"/>
    <x v="0"/>
    <n v="1"/>
    <s v="听到他人议论自己的糗事会生气，听到表扬会感到很开心。愿意主动展示自己的特长"/>
  </r>
  <r>
    <x v="2"/>
    <s v="自我意识"/>
    <s v="具有自尊、自信、自主的表现"/>
    <s v="独立不依赖"/>
    <s v="自己的事情尽量自己做，不轻易依赖别人。"/>
    <x v="1"/>
    <n v="0"/>
    <s v="会依赖大人去解决问题，不相信自己的能力"/>
  </r>
  <r>
    <x v="2"/>
    <s v="自我意识"/>
    <s v="具有自尊、自信、自主的表现"/>
    <s v="任务能挑战"/>
    <s v="愿意尝试有一定难度的活动和任务。"/>
    <x v="1"/>
    <n v="0"/>
    <s v="对有难度的活动比较抗拒"/>
  </r>
  <r>
    <x v="2"/>
    <s v="人际交往"/>
    <s v="愿意与人交往，能与同伴友好相处"/>
    <s v="愿意交朋友"/>
    <s v="喜欢和同伴共同游戏，有较稳定的玩伴。"/>
    <x v="0"/>
    <n v="1"/>
    <s v="对有难度的活动比较抗拒"/>
  </r>
  <r>
    <x v="2"/>
    <s v="人际交往"/>
    <s v="愿意与人交往，能与同伴友好相处"/>
    <s v="与成人交往"/>
    <s v="喜欢和长辈交谈发生的事情。"/>
    <x v="0"/>
    <n v="1"/>
    <s v="对有难度的活动比较抗拒"/>
  </r>
  <r>
    <x v="2"/>
    <s v="人际交往"/>
    <s v="愿意与人交往，能与同伴友好相处"/>
    <s v="与成人交往"/>
    <s v="愿意主动寻求成人的陪伴、帮助或安慰。"/>
    <x v="0"/>
    <n v="1"/>
    <s v="对有难度的活动比较抗拒"/>
  </r>
  <r>
    <x v="2"/>
    <s v="人际交往"/>
    <s v="愿意与人交往，能与同伴友好相处"/>
    <s v="与同伴交往"/>
    <s v="能运用简单的交往技巧加入同伴的游戏。"/>
    <x v="0"/>
    <n v="1"/>
    <s v="会主动进行自我介绍，询问是否可以加入游戏"/>
  </r>
  <r>
    <x v="2"/>
    <s v="人际交往"/>
    <s v="愿意与人交往，能与同伴友好相处"/>
    <s v="冲突解决"/>
    <s v="知道轮流、分享，会恰当妥协，能在成人帮助下和平解决与同伴之间的矛盾。"/>
    <x v="0"/>
    <n v="1"/>
    <s v="会主动进行自我介绍，询问是否可以加入游戏"/>
  </r>
  <r>
    <x v="2"/>
    <s v="人际交往"/>
    <s v="愿意与人交往，能与同伴友好相处"/>
    <s v="谦让不受欺"/>
    <s v="能谦让比自己幼小和体弱的同伴。"/>
    <x v="2"/>
    <n v="0.5"/>
    <s v="会主动进行自我介绍，询问是否可以加入游戏"/>
  </r>
  <r>
    <x v="2"/>
    <s v="人际交往"/>
    <s v="关心和尊重他人"/>
    <s v="礼貌相处"/>
    <s v="能有礼貌地向长辈、他人表达自己的需求和想法。"/>
    <x v="2"/>
    <n v="0.5"/>
    <s v="需要提醒"/>
  </r>
  <r>
    <x v="2"/>
    <s v="人际交往"/>
    <s v="关心和尊重他人"/>
    <s v="关心他人"/>
    <s v="能注意到熟悉的人的情绪，并表现出关心和体贴。"/>
    <x v="0"/>
    <n v="1"/>
    <s v="需要提醒"/>
  </r>
  <r>
    <x v="2"/>
    <s v="人际交往"/>
    <s v="关心和尊重他人"/>
    <s v="尊重接纳他人"/>
    <s v="经提醒，能做到不打扰正在工作或做事的人。"/>
    <x v="0"/>
    <n v="1"/>
    <s v="需要提醒"/>
  </r>
  <r>
    <x v="2"/>
    <s v="人际交往"/>
    <s v="关心和尊重他人"/>
    <s v="尊重劳动成果"/>
    <s v="知道父母的工作及服务的辛苦。"/>
    <x v="0"/>
    <n v="1"/>
    <s v="需要提醒"/>
  </r>
  <r>
    <x v="2"/>
    <s v="社会适应"/>
    <s v="喜欢并适应群体生活"/>
    <s v="参与集体生活"/>
    <s v="能主动参加群体活动。"/>
    <x v="0"/>
    <n v="1"/>
    <s v="需要提醒"/>
  </r>
  <r>
    <x v="2"/>
    <s v="社会适应"/>
    <s v="喜欢并适应群体生活"/>
    <s v="喜欢集体生活"/>
    <s v="愿意和家人一同参加与自己有关的社区活动。"/>
    <x v="0"/>
    <n v="1"/>
    <s v="做核酸"/>
  </r>
  <r>
    <x v="2"/>
    <s v="社会适应"/>
    <s v="喜欢并适应群体生活"/>
    <s v="新人际环境"/>
    <s v="面对新伙伴、新老师时，能适应所发生的变化，愿意参与活动。"/>
    <x v="0"/>
    <n v="1"/>
    <s v="能适应轮滑课"/>
  </r>
  <r>
    <x v="2"/>
    <s v="社会适应"/>
    <s v="具有初步的归属感"/>
    <s v="集体归属感"/>
    <s v="喜欢自己的幼儿园和所在的班级，能积极参加集体活动。"/>
    <x v="0"/>
    <n v="1"/>
    <s v="现在不会说不愿意去幼儿园"/>
  </r>
  <r>
    <x v="2"/>
    <s v="社会适应"/>
    <s v="具有初步的归属感"/>
    <s v="家乡我自豪"/>
    <s v="知道自己的家所在的城市、区域及路名，了解当地著名的景观或特产。"/>
    <x v="0"/>
    <n v="1"/>
    <s v="现在不会说不愿意去幼儿园"/>
  </r>
  <r>
    <x v="2"/>
    <s v="社会适应"/>
    <s v="具有初步的归属感"/>
    <s v="祖国我热爱"/>
    <s v="知道自己的国籍，奏国歌、升国旗时能立正、行注目礼。"/>
    <x v="0"/>
    <n v="1"/>
    <s v="现在不会说不愿意去幼儿园"/>
  </r>
  <r>
    <x v="2"/>
    <s v="社会适应"/>
    <s v="感受和体验多元文化"/>
    <s v="感受多元文化"/>
    <s v="能感受不同地区语言、事物、服饰等特点。"/>
    <x v="0"/>
    <n v="1"/>
    <s v="现在不会说不愿意去幼儿园"/>
  </r>
  <r>
    <x v="2"/>
    <s v="社会适应"/>
    <s v="感受和体验多元文化"/>
    <s v="尊重多元文化"/>
    <s v="对其他民族的人或外国人表现出自然、大方的态度。"/>
    <x v="3"/>
    <s v="-"/>
    <s v="好久未出苏州市"/>
  </r>
  <r>
    <x v="3"/>
    <s v="理解与表达"/>
    <s v="能听懂常用语言"/>
    <s v="听懂话语和情境"/>
    <s v="能结合情境感受和理解不同的语气、语调所表达的意思。"/>
    <x v="0"/>
    <n v="1"/>
    <s v="好久未出苏州市"/>
  </r>
  <r>
    <x v="3"/>
    <s v="理解与表达"/>
    <s v="能听懂常用语言"/>
    <s v="听不懂能提问"/>
    <s v="听不懂时能主动提问。"/>
    <x v="0"/>
    <n v="1"/>
    <s v="好久未出苏州市"/>
  </r>
  <r>
    <x v="3"/>
    <s v="理解与表达"/>
    <s v="愿意用语言进行交流并能清楚地表达"/>
    <s v="愿意交流表达"/>
    <s v="愿意与他人交流自己感兴趣的话题。"/>
    <x v="0"/>
    <n v="1"/>
    <s v="好久未出苏州市"/>
  </r>
  <r>
    <x v="3"/>
    <s v="理解与表达"/>
    <s v="愿意用语言进行交流并能清楚地表达"/>
    <s v="发音清晰"/>
    <s v="会说普通话及本民族或本地区的语言，发音较清晰。"/>
    <x v="0"/>
    <n v="1"/>
    <s v="不知道哪儿学的一嘴北方腔"/>
  </r>
  <r>
    <x v="3"/>
    <s v="理解与表达"/>
    <s v="愿意用语言进行交流并能清楚地表达"/>
    <s v="完整连贯表达"/>
    <s v="能较完整地讲述自己的经历和见闻。"/>
    <x v="2"/>
    <n v="0.5"/>
    <s v="讲述的完整性还略欠缺"/>
  </r>
  <r>
    <x v="3"/>
    <s v="理解与表达"/>
    <s v="愿意用语言进行交流并能清楚地表达"/>
    <s v="清楚表达"/>
    <s v="能使用较连贯的语言讲述故事。"/>
    <x v="2"/>
    <n v="0.5"/>
    <s v="超过2句就有些磕磕巴巴，意思偏离"/>
  </r>
  <r>
    <x v="3"/>
    <s v="前阅读与前书写"/>
    <s v="喜欢听故事，看图书"/>
    <s v="自主阅读"/>
    <s v="会反复翻阅自己喜欢的图书。"/>
    <x v="0"/>
    <n v="1"/>
    <s v="超过2句就有些磕磕巴巴，意思偏离"/>
  </r>
  <r>
    <x v="3"/>
    <s v="前阅读与前书写"/>
    <s v="喜欢听故事，看图书"/>
    <s v="阅读爱互动"/>
    <s v="喜欢向别人讲述自己听过的故事或看过的图书。"/>
    <x v="0"/>
    <n v="1"/>
    <s v="超过2句就有些磕磕巴巴，意思偏离"/>
  </r>
  <r>
    <x v="3"/>
    <s v="前阅读与前书写"/>
    <s v="喜欢听故事，看图书"/>
    <s v="了解文字符号"/>
    <s v="喜欢观察生活中常见的标识与符号，能感知和理解其表达的意义。"/>
    <x v="0"/>
    <n v="1"/>
    <s v="超过2句就有些磕磕巴巴，意思偏离"/>
  </r>
  <r>
    <x v="3"/>
    <s v="前阅读与前书写"/>
    <s v="具有初步的阅读理解能力"/>
    <s v="故事能复述"/>
    <s v="能大致说出所听故事的主要内容。"/>
    <x v="0"/>
    <n v="1"/>
    <s v="超过2句就有些磕磕巴巴，意思偏离"/>
  </r>
  <r>
    <x v="3"/>
    <s v="前阅读与前书写"/>
    <s v="具有初步的阅读理解能力"/>
    <s v="阅读能理解"/>
    <s v="能通过观察图书的连续画面，大致说出故事的主要情节。"/>
    <x v="0"/>
    <n v="1"/>
    <s v="超过2句就有些磕磕巴巴，意思偏离"/>
  </r>
  <r>
    <x v="3"/>
    <s v="前阅读与前书写"/>
    <s v="具有初步的阅读理解能力"/>
    <s v="阅读能鉴赏"/>
    <s v="能随着文学作品情节展开的进程，体会作品所表达的各种情绪、情感。"/>
    <x v="0"/>
    <n v="1"/>
    <s v="超过2句就有些磕磕巴巴，意思偏离"/>
  </r>
  <r>
    <x v="3"/>
    <s v="前阅读与前书写"/>
    <s v="具有书面表达的愿望和初步技能"/>
    <s v="写画意愿"/>
    <s v="能用图画和符号表达自己的愿望和想法。"/>
    <x v="0"/>
    <n v="1"/>
    <s v="超过2句就有些磕磕巴巴，意思偏离"/>
  </r>
  <r>
    <x v="3"/>
    <s v="前阅读与前书写"/>
    <s v="具有书面表达的愿望和初步技能"/>
    <s v="写画姿势"/>
    <s v="在提醒下，画画、书写时姿势正确。"/>
    <x v="0"/>
    <n v="1"/>
    <s v="超过2句就有些磕磕巴巴，意思偏离"/>
  </r>
  <r>
    <x v="3"/>
    <s v="前阅读与前书写"/>
    <s v="具有书面表达的愿望和初步技能"/>
    <s v="识写我名字"/>
    <s v="能认识自己的名字。"/>
    <x v="0"/>
    <n v="1"/>
    <s v="超过2句就有些磕磕巴巴，意思偏离"/>
  </r>
  <r>
    <x v="4"/>
    <s v="科学探究"/>
    <s v="喜欢探究"/>
    <s v="好奇好问好探究"/>
    <s v="经常乐于动手、动脑，探索未知的事物。"/>
    <x v="2"/>
    <n v="0.5"/>
    <s v="喜欢让爸爸动手做小实验"/>
  </r>
  <r>
    <x v="4"/>
    <s v="科学探究"/>
    <s v="用一定的方法探究周围感兴趣的事物与现象"/>
    <s v="观察比较与分析"/>
    <s v="能观察、比较事物，发现其异同，并进行简单描述。"/>
    <x v="0"/>
    <n v="1"/>
    <s v="喜欢让爸爸动手做小实验"/>
  </r>
  <r>
    <x v="4"/>
    <s v="科学探究"/>
    <s v="用一定的方法探究周围感兴趣的事物与现象"/>
    <s v="思考猜测并验证"/>
    <s v="能根据观察结果提出疑问，并运用已有经验大胆猜测。"/>
    <x v="0"/>
    <n v="1"/>
    <s v="做手工，同样是产生气泡，就会推测是因为洗洁精的缘故"/>
  </r>
  <r>
    <x v="4"/>
    <s v="科学探究"/>
    <s v="用一定的方法探究周围感兴趣的事物与现象"/>
    <s v="收集信息"/>
    <s v="能通过简单调查，收集自己需要的相关信息。"/>
    <x v="2"/>
    <n v="0.5"/>
    <s v="缺乏评价场景"/>
  </r>
  <r>
    <x v="4"/>
    <s v="科学探究"/>
    <s v="用一定的方法探究周围感兴趣的事物与现象"/>
    <s v="记录形式多样化"/>
    <s v="能用图画或其他符号记录自己的探究过程或结果。"/>
    <x v="2"/>
    <n v="0.5"/>
    <s v="缺乏评价场景"/>
  </r>
  <r>
    <x v="4"/>
    <s v="科学探究"/>
    <s v="在探究中认识事物与现象"/>
    <s v="探究动植物"/>
    <s v="能感知和发现生活中常见动植物生长变化的过程及所需的基本条件。"/>
    <x v="0"/>
    <n v="1"/>
    <s v="缺乏评价场景"/>
  </r>
  <r>
    <x v="4"/>
    <s v="科学探究"/>
    <s v="在探究中认识事物与现象"/>
    <s v="探究物体材料"/>
    <s v="能初步感知和发现常见材料的溶解、传热等性质及在生活中的用途。"/>
    <x v="0"/>
    <n v="1"/>
    <s v="缺乏评价场景"/>
  </r>
  <r>
    <x v="4"/>
    <s v="科学探究"/>
    <s v="在探究中认识事物与现象"/>
    <s v="探究物理现象"/>
    <s v="能感知和发现光、影、磁、摩擦等简单物理现象。"/>
    <x v="0"/>
    <n v="1"/>
    <s v="缺乏评价场景"/>
  </r>
  <r>
    <x v="4"/>
    <s v="科学探究"/>
    <s v="在探究中认识事物与现象"/>
    <s v="气候与生活"/>
    <s v="能感知和发现不同季节的特点，体验季节的变化对动植物和人类生活产生的影响。"/>
    <x v="0"/>
    <n v="1"/>
    <s v="缺乏评价场景"/>
  </r>
  <r>
    <x v="4"/>
    <s v="科学探究"/>
    <s v="在探究中认识事物与现象"/>
    <s v="科技与生活"/>
    <s v="初步感知常用科技产品的用途与自己生活的关系。"/>
    <x v="0"/>
    <n v="1"/>
    <s v="缺乏评价场景"/>
  </r>
  <r>
    <x v="4"/>
    <s v="数学认知"/>
    <s v="初步感知生活中数学的有用和有趣"/>
    <s v="感知形状和空间"/>
    <s v="能感知事物的形状、方位，并用相应的词语来描述。"/>
    <x v="0"/>
    <n v="1"/>
    <s v="缺乏评价场景"/>
  </r>
  <r>
    <x v="4"/>
    <s v="数学认知"/>
    <s v="初步感知生活中数学的有用和有趣"/>
    <s v="感知运用数"/>
    <s v="能用数学符号来描述事物，对环境中数字符号的各种意义有探究的兴趣。"/>
    <x v="0"/>
    <n v="1"/>
    <s v="会用手指数数，3个以内马上说出"/>
  </r>
  <r>
    <x v="4"/>
    <s v="数学认知"/>
    <s v="初步感知生活中数学的有用和有趣"/>
    <s v="感知时间"/>
    <s v="理解活动或事件发生的先后顺序，能用语言描述事情发生的前后经过。"/>
    <x v="0"/>
    <n v="1"/>
    <s v="会用手指数数，3个以内马上说出"/>
  </r>
  <r>
    <x v="4"/>
    <s v="数学认知"/>
    <s v="感知数、量及数量关系"/>
    <s v="量的比较"/>
    <s v="能感知和发现物体的粗细、厚薄、轻重等方面的差别，并用相应的词语描述。"/>
    <x v="0"/>
    <n v="1"/>
    <s v="知道用恰当重量的物体形容自己力气大"/>
  </r>
  <r>
    <x v="4"/>
    <s v="数学认知"/>
    <s v="感知数、量及数量关系"/>
    <s v="集合比较"/>
    <s v="能运用数数的方法比较两组物体的多少。"/>
    <x v="0"/>
    <n v="1"/>
    <s v="做对过20以内加法"/>
  </r>
  <r>
    <x v="4"/>
    <s v="数学认知"/>
    <s v="感知数、量及数量关系"/>
    <s v="感知数量关系"/>
    <s v="能借助实际情况和实物操作，理解数的大小和形成等。"/>
    <x v="0"/>
    <n v="1"/>
    <s v="做对过20以内加法"/>
  </r>
  <r>
    <x v="4"/>
    <s v="数学认知"/>
    <s v="感知数、量及数量关系"/>
    <s v="数的表述"/>
    <s v="能使用数词来描述事物的排列顺序和位置。"/>
    <x v="0"/>
    <n v="1"/>
    <s v="模拟开车，知道左右方向"/>
  </r>
  <r>
    <x v="4"/>
    <s v="数学认知"/>
    <s v="感知形状与空间关系"/>
    <s v="形状认知"/>
    <s v="能感知和发现物体的形体结构特征，并运用绘画、拼搭等方式表现物体的造型。"/>
    <x v="0"/>
    <n v="1"/>
    <s v="画画时能描绘出大体的结构"/>
  </r>
  <r>
    <x v="4"/>
    <s v="数学认知"/>
    <s v="感知形状与空间关系"/>
    <s v="形状认知"/>
    <s v="能发现常见几何图形的基本特征并进行比较、分类。"/>
    <x v="0"/>
    <n v="1"/>
    <s v="画画时能描绘出大体的结构"/>
  </r>
  <r>
    <x v="4"/>
    <s v="数学认知"/>
    <s v="感知形状与空间关系"/>
    <s v="空间认知"/>
    <s v="能使用“中间”“旁边”等各种方位词来描述物体的位置和运动方向。"/>
    <x v="0"/>
    <n v="1"/>
    <s v="画画时能描绘出大体的结构"/>
  </r>
  <r>
    <x v="5"/>
    <s v="感受与欣赏"/>
    <s v="感受自然界与生活中美的事物"/>
    <s v="感受视觉美"/>
    <s v="在观赏大自然和生活环境中美的事物时，能关注其色彩、形态等特征。"/>
    <x v="0"/>
    <n v="1"/>
    <s v="画画时能描绘出大体的结构"/>
  </r>
  <r>
    <x v="5"/>
    <s v="感受与欣赏"/>
    <s v="感受自然界与生活中美的事物"/>
    <s v="感受听觉美"/>
    <s v="喜欢倾听大自然和生活环境中各种好听的声音，能感知和发现声音的长短、高低、强弱等变化。"/>
    <x v="0"/>
    <n v="1"/>
    <s v="画画时能描绘出大体的结构"/>
  </r>
  <r>
    <x v="5"/>
    <s v="感受与欣赏"/>
    <s v="感受自然界与生活中美的事物"/>
    <s v="感受艺术美"/>
    <s v="能专心观看自己喜欢的艺术表演或作品，并有模仿和参与的愿望。"/>
    <x v="0"/>
    <n v="1"/>
    <s v="会模仿动画片、儿童剧里的情节"/>
  </r>
  <r>
    <x v="5"/>
    <s v="感受与欣赏"/>
    <s v="感受自然界与生活中美的事物"/>
    <s v="表达欣赏感受"/>
    <s v="愿意参加美术、音乐、儿童文学等艺术欣赏活动，欣赏艺术作品时能产生相应的联想和情绪反应。"/>
    <x v="0"/>
    <n v="1"/>
    <s v="会模仿动画片、儿童剧里的情节"/>
  </r>
  <r>
    <x v="5"/>
    <s v="表现与创造"/>
    <s v="具有艺术表现的兴趣"/>
    <s v="音乐感兴趣"/>
    <s v="能经常唱唱跳跳，喜欢参加歌唱、律动、舞蹈、器乐弹奏等形式的活动。"/>
    <x v="0"/>
    <n v="1"/>
    <s v="喜欢创编歌曲和舞蹈"/>
  </r>
  <r>
    <x v="5"/>
    <s v="表现与创造"/>
    <s v="具有艺术表现的兴趣"/>
    <s v="美工感兴趣"/>
    <s v="喜欢运用绘画、捏泥、折纸等方式表现观察到的事物和自己的想象。"/>
    <x v="2"/>
    <n v="0.5"/>
    <s v="喜欢绘画，但不擅长手工"/>
  </r>
  <r>
    <x v="5"/>
    <s v="表现与创造"/>
    <s v="具有初步的艺术表现与创造力"/>
    <s v="歌唱表现"/>
    <s v="能运用自然的声音、适中的音量和基本准确的音调唱歌。"/>
    <x v="0"/>
    <n v="1"/>
    <s v="唱歌能唱准音调"/>
  </r>
  <r>
    <x v="5"/>
    <s v="表现与创造"/>
    <s v="具有初步的艺术表现与创造力"/>
    <s v="律动表现"/>
    <s v="能运用拍手、跺脚等动作，或敲击物品的方式来表现简单的节拍和基本节奏。"/>
    <x v="0"/>
    <n v="1"/>
    <s v="唱歌能唱准音调"/>
  </r>
  <r>
    <x v="5"/>
    <s v="表现与创造"/>
    <s v="具有初步的艺术表现与创造力"/>
    <s v="表演表现"/>
    <s v="能运用即兴哼唱、即兴表演或为熟悉的歌曲改编歌词等方式表达自己的心情。"/>
    <x v="0"/>
    <n v="1"/>
    <s v="唱歌能唱准音调"/>
  </r>
  <r>
    <x v="5"/>
    <s v="表现与创造"/>
    <s v="具有初步的艺术表现与创造力"/>
    <s v="美术表现"/>
    <s v="能运用绘画、捏泥、折纸等方式表现观察到的或想象的事物。"/>
    <x v="0"/>
    <n v="1"/>
    <s v="唱歌能唱准音调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02D25-4CC2-4E47-8D26-01D01DA940A1}" name="数据透视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4:F22" firstHeaderRow="1" firstDataRow="2" firstDataCol="1"/>
  <pivotFields count="8">
    <pivotField axis="axisRow" showAll="0">
      <items count="7">
        <item x="0"/>
        <item x="5"/>
        <item x="4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计数项:指标名称" fld="3" subtotal="count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228F3-C6D3-4BEB-B197-E4E2CEADA197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10" firstHeaderRow="0" firstDataRow="1" firstDataCol="1"/>
  <pivotFields count="8">
    <pivotField axis="axisRow" showAll="0">
      <items count="7">
        <item x="0"/>
        <item x="5"/>
        <item x="4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>
      <items count="5">
        <item x="3"/>
        <item x="1"/>
        <item x="0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是否达标2" fld="6" subtotal="average" baseField="0" baseItem="0" numFmtId="2"/>
    <dataField name="计数项:指标名称" fld="3" subtotal="count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9840-E5A3-468F-AC7D-E19785F7BFA6}">
  <dimension ref="A1:G118"/>
  <sheetViews>
    <sheetView tabSelected="1" topLeftCell="A109" zoomScaleNormal="100" workbookViewId="0">
      <selection activeCell="E112" sqref="A1:G118"/>
    </sheetView>
  </sheetViews>
  <sheetFormatPr defaultRowHeight="14.25" x14ac:dyDescent="0.2"/>
  <cols>
    <col min="1" max="1" width="11.375" bestFit="1" customWidth="1"/>
    <col min="2" max="2" width="12.25" customWidth="1"/>
    <col min="3" max="3" width="20.875" customWidth="1"/>
    <col min="4" max="4" width="13.25" bestFit="1" customWidth="1"/>
    <col min="5" max="5" width="45.125" customWidth="1"/>
    <col min="6" max="6" width="12" style="9" bestFit="1" customWidth="1"/>
    <col min="7" max="7" width="35" customWidth="1"/>
  </cols>
  <sheetData>
    <row r="1" spans="1:7" ht="16.5" x14ac:dyDescent="0.2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285</v>
      </c>
      <c r="G1" s="14" t="s">
        <v>286</v>
      </c>
    </row>
    <row r="2" spans="1:7" ht="33" x14ac:dyDescent="0.2">
      <c r="A2" s="31" t="s">
        <v>9</v>
      </c>
      <c r="B2" s="31" t="s">
        <v>5</v>
      </c>
      <c r="C2" s="31" t="s">
        <v>6</v>
      </c>
      <c r="D2" s="3" t="s">
        <v>7</v>
      </c>
      <c r="E2" s="4" t="s">
        <v>8</v>
      </c>
      <c r="F2" s="10" t="s">
        <v>292</v>
      </c>
      <c r="G2" s="11" t="s">
        <v>293</v>
      </c>
    </row>
    <row r="3" spans="1:7" ht="16.5" x14ac:dyDescent="0.2">
      <c r="A3" s="33"/>
      <c r="B3" s="33"/>
      <c r="C3" s="32"/>
      <c r="D3" s="5" t="s">
        <v>10</v>
      </c>
      <c r="E3" s="6" t="s">
        <v>11</v>
      </c>
      <c r="F3" s="10" t="s">
        <v>292</v>
      </c>
      <c r="G3" s="11"/>
    </row>
    <row r="4" spans="1:7" ht="16.5" x14ac:dyDescent="0.2">
      <c r="A4" s="33"/>
      <c r="B4" s="33"/>
      <c r="C4" s="34" t="s">
        <v>12</v>
      </c>
      <c r="D4" s="5" t="s">
        <v>13</v>
      </c>
      <c r="E4" s="6" t="s">
        <v>14</v>
      </c>
      <c r="F4" s="10" t="s">
        <v>292</v>
      </c>
      <c r="G4" s="11" t="s">
        <v>294</v>
      </c>
    </row>
    <row r="5" spans="1:7" ht="16.5" x14ac:dyDescent="0.2">
      <c r="A5" s="33"/>
      <c r="B5" s="33"/>
      <c r="C5" s="36"/>
      <c r="D5" s="5" t="s">
        <v>15</v>
      </c>
      <c r="E5" s="6" t="s">
        <v>16</v>
      </c>
      <c r="F5" s="10" t="s">
        <v>292</v>
      </c>
      <c r="G5" s="11"/>
    </row>
    <row r="6" spans="1:7" ht="16.5" x14ac:dyDescent="0.2">
      <c r="A6" s="33"/>
      <c r="B6" s="33"/>
      <c r="C6" s="34" t="s">
        <v>17</v>
      </c>
      <c r="D6" s="5" t="s">
        <v>18</v>
      </c>
      <c r="E6" s="6" t="s">
        <v>19</v>
      </c>
      <c r="F6" s="10" t="s">
        <v>292</v>
      </c>
      <c r="G6" s="11"/>
    </row>
    <row r="7" spans="1:7" ht="16.5" x14ac:dyDescent="0.2">
      <c r="A7" s="33"/>
      <c r="B7" s="32"/>
      <c r="C7" s="36"/>
      <c r="D7" s="5" t="s">
        <v>20</v>
      </c>
      <c r="E7" s="6" t="s">
        <v>21</v>
      </c>
      <c r="F7" s="10" t="s">
        <v>292</v>
      </c>
      <c r="G7" s="11"/>
    </row>
    <row r="8" spans="1:7" ht="16.5" x14ac:dyDescent="0.2">
      <c r="A8" s="33"/>
      <c r="B8" s="40" t="s">
        <v>22</v>
      </c>
      <c r="C8" s="7" t="s">
        <v>23</v>
      </c>
      <c r="D8" s="7" t="s">
        <v>24</v>
      </c>
      <c r="E8" s="8" t="s">
        <v>25</v>
      </c>
      <c r="F8" s="10" t="s">
        <v>292</v>
      </c>
      <c r="G8" s="11"/>
    </row>
    <row r="9" spans="1:7" ht="33" x14ac:dyDescent="0.2">
      <c r="A9" s="33"/>
      <c r="B9" s="41"/>
      <c r="C9" s="34" t="s">
        <v>26</v>
      </c>
      <c r="D9" s="5" t="s">
        <v>27</v>
      </c>
      <c r="E9" s="6" t="s">
        <v>28</v>
      </c>
      <c r="F9" s="10" t="s">
        <v>292</v>
      </c>
      <c r="G9" s="11" t="s">
        <v>295</v>
      </c>
    </row>
    <row r="10" spans="1:7" ht="16.5" x14ac:dyDescent="0.2">
      <c r="A10" s="33"/>
      <c r="B10" s="41"/>
      <c r="C10" s="35"/>
      <c r="D10" s="5" t="s">
        <v>29</v>
      </c>
      <c r="E10" s="6" t="s">
        <v>30</v>
      </c>
      <c r="F10" s="10" t="s">
        <v>292</v>
      </c>
      <c r="G10" s="11"/>
    </row>
    <row r="11" spans="1:7" ht="33" x14ac:dyDescent="0.2">
      <c r="A11" s="33"/>
      <c r="B11" s="41"/>
      <c r="C11" s="35"/>
      <c r="D11" s="15" t="s">
        <v>31</v>
      </c>
      <c r="E11" s="16" t="s">
        <v>32</v>
      </c>
      <c r="F11" s="17" t="s">
        <v>296</v>
      </c>
      <c r="G11" s="18" t="s">
        <v>297</v>
      </c>
    </row>
    <row r="12" spans="1:7" ht="16.5" x14ac:dyDescent="0.2">
      <c r="A12" s="33"/>
      <c r="B12" s="41"/>
      <c r="C12" s="35"/>
      <c r="D12" s="5" t="s">
        <v>33</v>
      </c>
      <c r="E12" s="6" t="s">
        <v>34</v>
      </c>
      <c r="F12" s="10" t="s">
        <v>292</v>
      </c>
      <c r="G12" s="11"/>
    </row>
    <row r="13" spans="1:7" ht="16.5" x14ac:dyDescent="0.2">
      <c r="A13" s="33"/>
      <c r="B13" s="41"/>
      <c r="C13" s="36"/>
      <c r="D13" s="15" t="s">
        <v>35</v>
      </c>
      <c r="E13" s="16" t="s">
        <v>36</v>
      </c>
      <c r="F13" s="17" t="s">
        <v>296</v>
      </c>
      <c r="G13" s="18" t="s">
        <v>298</v>
      </c>
    </row>
    <row r="14" spans="1:7" ht="16.5" x14ac:dyDescent="0.2">
      <c r="A14" s="33"/>
      <c r="B14" s="41"/>
      <c r="C14" s="31" t="s">
        <v>37</v>
      </c>
      <c r="D14" s="23" t="s">
        <v>38</v>
      </c>
      <c r="E14" s="24" t="s">
        <v>39</v>
      </c>
      <c r="F14" s="25" t="s">
        <v>299</v>
      </c>
      <c r="G14" s="26" t="s">
        <v>300</v>
      </c>
    </row>
    <row r="15" spans="1:7" ht="16.5" x14ac:dyDescent="0.2">
      <c r="A15" s="33"/>
      <c r="B15" s="41"/>
      <c r="C15" s="33"/>
      <c r="D15" s="19" t="s">
        <v>40</v>
      </c>
      <c r="E15" s="20" t="s">
        <v>41</v>
      </c>
      <c r="F15" s="17" t="s">
        <v>296</v>
      </c>
      <c r="G15" s="18" t="s">
        <v>302</v>
      </c>
    </row>
    <row r="16" spans="1:7" ht="16.5" x14ac:dyDescent="0.2">
      <c r="A16" s="33"/>
      <c r="B16" s="41"/>
      <c r="C16" s="33"/>
      <c r="D16" s="19" t="s">
        <v>42</v>
      </c>
      <c r="E16" s="20" t="s">
        <v>43</v>
      </c>
      <c r="F16" s="17" t="s">
        <v>296</v>
      </c>
      <c r="G16" s="18" t="s">
        <v>301</v>
      </c>
    </row>
    <row r="17" spans="1:7" ht="16.5" x14ac:dyDescent="0.2">
      <c r="A17" s="33"/>
      <c r="B17" s="41"/>
      <c r="C17" s="33"/>
      <c r="D17" s="3" t="s">
        <v>44</v>
      </c>
      <c r="E17" s="4" t="s">
        <v>45</v>
      </c>
      <c r="F17" s="10" t="s">
        <v>292</v>
      </c>
      <c r="G17" s="11"/>
    </row>
    <row r="18" spans="1:7" ht="16.5" x14ac:dyDescent="0.2">
      <c r="A18" s="33"/>
      <c r="B18" s="41"/>
      <c r="C18" s="32"/>
      <c r="D18" s="23" t="s">
        <v>46</v>
      </c>
      <c r="E18" s="24" t="s">
        <v>47</v>
      </c>
      <c r="F18" s="25" t="s">
        <v>299</v>
      </c>
      <c r="G18" s="26" t="s">
        <v>303</v>
      </c>
    </row>
    <row r="19" spans="1:7" ht="16.5" x14ac:dyDescent="0.2">
      <c r="A19" s="33"/>
      <c r="B19" s="41"/>
      <c r="C19" s="31" t="s">
        <v>48</v>
      </c>
      <c r="D19" s="3" t="s">
        <v>49</v>
      </c>
      <c r="E19" s="4" t="s">
        <v>50</v>
      </c>
      <c r="F19" s="10" t="s">
        <v>292</v>
      </c>
      <c r="G19" s="11"/>
    </row>
    <row r="20" spans="1:7" ht="33" x14ac:dyDescent="0.2">
      <c r="A20" s="33"/>
      <c r="B20" s="41"/>
      <c r="C20" s="33"/>
      <c r="D20" s="3" t="s">
        <v>51</v>
      </c>
      <c r="E20" s="4" t="s">
        <v>52</v>
      </c>
      <c r="F20" s="10" t="s">
        <v>292</v>
      </c>
      <c r="G20" s="11"/>
    </row>
    <row r="21" spans="1:7" ht="16.5" x14ac:dyDescent="0.2">
      <c r="A21" s="33"/>
      <c r="B21" s="41"/>
      <c r="C21" s="33"/>
      <c r="D21" s="23" t="s">
        <v>53</v>
      </c>
      <c r="E21" s="24" t="s">
        <v>54</v>
      </c>
      <c r="F21" s="25" t="s">
        <v>299</v>
      </c>
      <c r="G21" s="26"/>
    </row>
    <row r="22" spans="1:7" ht="16.5" x14ac:dyDescent="0.2">
      <c r="A22" s="32"/>
      <c r="B22" s="42"/>
      <c r="C22" s="32"/>
      <c r="D22" s="23" t="s">
        <v>55</v>
      </c>
      <c r="E22" s="24" t="s">
        <v>56</v>
      </c>
      <c r="F22" s="25" t="s">
        <v>299</v>
      </c>
      <c r="G22" s="26" t="s">
        <v>304</v>
      </c>
    </row>
    <row r="23" spans="1:7" ht="16.5" x14ac:dyDescent="0.2">
      <c r="A23" s="31" t="s">
        <v>57</v>
      </c>
      <c r="B23" s="31" t="s">
        <v>58</v>
      </c>
      <c r="C23" s="31" t="s">
        <v>59</v>
      </c>
      <c r="D23" s="3" t="s">
        <v>60</v>
      </c>
      <c r="E23" s="4" t="s">
        <v>61</v>
      </c>
      <c r="F23" s="10" t="s">
        <v>292</v>
      </c>
      <c r="G23" s="11" t="s">
        <v>305</v>
      </c>
    </row>
    <row r="24" spans="1:7" ht="16.5" x14ac:dyDescent="0.2">
      <c r="A24" s="33"/>
      <c r="B24" s="33"/>
      <c r="C24" s="33"/>
      <c r="D24" s="19" t="s">
        <v>62</v>
      </c>
      <c r="E24" s="20" t="s">
        <v>63</v>
      </c>
      <c r="F24" s="17" t="s">
        <v>296</v>
      </c>
      <c r="G24" s="18" t="s">
        <v>306</v>
      </c>
    </row>
    <row r="25" spans="1:7" ht="16.5" x14ac:dyDescent="0.2">
      <c r="A25" s="33"/>
      <c r="B25" s="33"/>
      <c r="C25" s="33"/>
      <c r="D25" s="3" t="s">
        <v>64</v>
      </c>
      <c r="E25" s="4" t="s">
        <v>65</v>
      </c>
      <c r="F25" s="10" t="s">
        <v>292</v>
      </c>
      <c r="G25" s="11" t="s">
        <v>307</v>
      </c>
    </row>
    <row r="26" spans="1:7" ht="49.5" x14ac:dyDescent="0.2">
      <c r="A26" s="33"/>
      <c r="B26" s="33"/>
      <c r="C26" s="33"/>
      <c r="D26" s="3" t="s">
        <v>66</v>
      </c>
      <c r="E26" s="4" t="s">
        <v>67</v>
      </c>
      <c r="F26" s="10" t="s">
        <v>292</v>
      </c>
      <c r="G26" s="11" t="s">
        <v>308</v>
      </c>
    </row>
    <row r="27" spans="1:7" ht="16.5" x14ac:dyDescent="0.2">
      <c r="A27" s="33"/>
      <c r="B27" s="33"/>
      <c r="C27" s="33"/>
      <c r="D27" s="23" t="s">
        <v>68</v>
      </c>
      <c r="E27" s="24" t="s">
        <v>69</v>
      </c>
      <c r="F27" s="25" t="s">
        <v>299</v>
      </c>
      <c r="G27" s="26" t="s">
        <v>309</v>
      </c>
    </row>
    <row r="28" spans="1:7" ht="16.5" x14ac:dyDescent="0.2">
      <c r="A28" s="33"/>
      <c r="B28" s="33"/>
      <c r="C28" s="32"/>
      <c r="D28" s="23" t="s">
        <v>70</v>
      </c>
      <c r="E28" s="24" t="s">
        <v>71</v>
      </c>
      <c r="F28" s="25" t="s">
        <v>299</v>
      </c>
      <c r="G28" s="26" t="s">
        <v>310</v>
      </c>
    </row>
    <row r="29" spans="1:7" ht="16.5" x14ac:dyDescent="0.2">
      <c r="A29" s="33"/>
      <c r="B29" s="33"/>
      <c r="C29" s="31" t="s">
        <v>72</v>
      </c>
      <c r="D29" s="3" t="s">
        <v>73</v>
      </c>
      <c r="E29" s="4" t="s">
        <v>74</v>
      </c>
      <c r="F29" s="10" t="s">
        <v>292</v>
      </c>
      <c r="G29" s="11"/>
    </row>
    <row r="30" spans="1:7" ht="16.5" x14ac:dyDescent="0.2">
      <c r="A30" s="33"/>
      <c r="B30" s="33"/>
      <c r="C30" s="33"/>
      <c r="D30" s="3" t="s">
        <v>75</v>
      </c>
      <c r="E30" s="4" t="s">
        <v>76</v>
      </c>
      <c r="F30" s="10" t="s">
        <v>292</v>
      </c>
      <c r="G30" s="11"/>
    </row>
    <row r="31" spans="1:7" ht="16.5" x14ac:dyDescent="0.2">
      <c r="A31" s="33"/>
      <c r="B31" s="33"/>
      <c r="C31" s="33"/>
      <c r="D31" s="3" t="s">
        <v>77</v>
      </c>
      <c r="E31" s="4" t="s">
        <v>78</v>
      </c>
      <c r="F31" s="10" t="s">
        <v>292</v>
      </c>
      <c r="G31" s="11" t="s">
        <v>311</v>
      </c>
    </row>
    <row r="32" spans="1:7" ht="33" x14ac:dyDescent="0.2">
      <c r="A32" s="33"/>
      <c r="B32" s="33"/>
      <c r="C32" s="33"/>
      <c r="D32" s="3" t="s">
        <v>79</v>
      </c>
      <c r="E32" s="4" t="s">
        <v>80</v>
      </c>
      <c r="F32" s="10" t="s">
        <v>292</v>
      </c>
      <c r="G32" s="11"/>
    </row>
    <row r="33" spans="1:7" ht="33" x14ac:dyDescent="0.2">
      <c r="A33" s="33"/>
      <c r="B33" s="33"/>
      <c r="C33" s="33"/>
      <c r="D33" s="3" t="s">
        <v>81</v>
      </c>
      <c r="E33" s="4" t="s">
        <v>82</v>
      </c>
      <c r="F33" s="10" t="s">
        <v>292</v>
      </c>
      <c r="G33" s="11" t="s">
        <v>312</v>
      </c>
    </row>
    <row r="34" spans="1:7" ht="16.5" x14ac:dyDescent="0.2">
      <c r="A34" s="33"/>
      <c r="B34" s="32"/>
      <c r="C34" s="32"/>
      <c r="D34" s="3" t="s">
        <v>83</v>
      </c>
      <c r="E34" s="4" t="s">
        <v>84</v>
      </c>
      <c r="F34" s="10" t="s">
        <v>292</v>
      </c>
      <c r="G34" s="11"/>
    </row>
    <row r="35" spans="1:7" ht="16.5" x14ac:dyDescent="0.2">
      <c r="A35" s="33"/>
      <c r="B35" s="37" t="s">
        <v>85</v>
      </c>
      <c r="C35" s="3" t="s">
        <v>86</v>
      </c>
      <c r="D35" s="23" t="s">
        <v>87</v>
      </c>
      <c r="E35" s="24" t="s">
        <v>88</v>
      </c>
      <c r="F35" s="25" t="s">
        <v>299</v>
      </c>
      <c r="G35" s="26" t="s">
        <v>346</v>
      </c>
    </row>
    <row r="36" spans="1:7" ht="16.5" x14ac:dyDescent="0.2">
      <c r="A36" s="33"/>
      <c r="B36" s="38"/>
      <c r="C36" s="3" t="s">
        <v>89</v>
      </c>
      <c r="D36" s="3" t="s">
        <v>89</v>
      </c>
      <c r="E36" s="4" t="s">
        <v>90</v>
      </c>
      <c r="F36" s="10" t="s">
        <v>292</v>
      </c>
      <c r="G36" s="11" t="s">
        <v>313</v>
      </c>
    </row>
    <row r="37" spans="1:7" ht="16.5" x14ac:dyDescent="0.2">
      <c r="A37" s="33"/>
      <c r="B37" s="38"/>
      <c r="C37" s="37" t="s">
        <v>91</v>
      </c>
      <c r="D37" s="1" t="s">
        <v>92</v>
      </c>
      <c r="E37" s="2" t="s">
        <v>93</v>
      </c>
      <c r="F37" s="10" t="s">
        <v>292</v>
      </c>
      <c r="G37" s="11"/>
    </row>
    <row r="38" spans="1:7" ht="16.5" x14ac:dyDescent="0.2">
      <c r="A38" s="33"/>
      <c r="B38" s="38"/>
      <c r="C38" s="39"/>
      <c r="D38" s="1" t="s">
        <v>94</v>
      </c>
      <c r="E38" s="2" t="s">
        <v>95</v>
      </c>
      <c r="F38" s="10" t="s">
        <v>292</v>
      </c>
      <c r="G38" s="11"/>
    </row>
    <row r="39" spans="1:7" ht="16.5" x14ac:dyDescent="0.2">
      <c r="A39" s="33"/>
      <c r="B39" s="38"/>
      <c r="C39" s="37" t="s">
        <v>96</v>
      </c>
      <c r="D39" s="1" t="s">
        <v>97</v>
      </c>
      <c r="E39" s="2" t="s">
        <v>98</v>
      </c>
      <c r="F39" s="10" t="s">
        <v>292</v>
      </c>
      <c r="G39" s="11"/>
    </row>
    <row r="40" spans="1:7" ht="33" x14ac:dyDescent="0.2">
      <c r="A40" s="33"/>
      <c r="B40" s="38"/>
      <c r="C40" s="38"/>
      <c r="D40" s="3" t="s">
        <v>99</v>
      </c>
      <c r="E40" s="2" t="s">
        <v>100</v>
      </c>
      <c r="F40" s="10" t="s">
        <v>292</v>
      </c>
      <c r="G40" s="11" t="s">
        <v>314</v>
      </c>
    </row>
    <row r="41" spans="1:7" ht="16.5" x14ac:dyDescent="0.2">
      <c r="A41" s="33"/>
      <c r="B41" s="38"/>
      <c r="C41" s="38"/>
      <c r="D41" s="1" t="s">
        <v>101</v>
      </c>
      <c r="E41" s="2" t="s">
        <v>102</v>
      </c>
      <c r="F41" s="10" t="s">
        <v>292</v>
      </c>
      <c r="G41" s="11" t="s">
        <v>315</v>
      </c>
    </row>
    <row r="42" spans="1:7" ht="16.5" x14ac:dyDescent="0.2">
      <c r="A42" s="33"/>
      <c r="B42" s="38"/>
      <c r="C42" s="39"/>
      <c r="D42" s="23" t="s">
        <v>103</v>
      </c>
      <c r="E42" s="27" t="s">
        <v>104</v>
      </c>
      <c r="F42" s="25" t="s">
        <v>299</v>
      </c>
      <c r="G42" s="26" t="s">
        <v>316</v>
      </c>
    </row>
    <row r="43" spans="1:7" ht="16.5" x14ac:dyDescent="0.2">
      <c r="A43" s="33"/>
      <c r="B43" s="38"/>
      <c r="C43" s="37" t="s">
        <v>105</v>
      </c>
      <c r="D43" s="1" t="s">
        <v>106</v>
      </c>
      <c r="E43" s="2" t="s">
        <v>107</v>
      </c>
      <c r="F43" s="10" t="s">
        <v>292</v>
      </c>
      <c r="G43" s="11" t="s">
        <v>317</v>
      </c>
    </row>
    <row r="44" spans="1:7" ht="16.5" x14ac:dyDescent="0.2">
      <c r="A44" s="33"/>
      <c r="B44" s="38"/>
      <c r="C44" s="38"/>
      <c r="D44" s="3" t="s">
        <v>108</v>
      </c>
      <c r="E44" s="2" t="s">
        <v>109</v>
      </c>
      <c r="F44" s="10" t="s">
        <v>292</v>
      </c>
      <c r="G44" s="11"/>
    </row>
    <row r="45" spans="1:7" ht="16.5" x14ac:dyDescent="0.2">
      <c r="A45" s="33"/>
      <c r="B45" s="38"/>
      <c r="C45" s="38"/>
      <c r="D45" s="1" t="s">
        <v>110</v>
      </c>
      <c r="E45" s="2" t="s">
        <v>111</v>
      </c>
      <c r="F45" s="10" t="s">
        <v>292</v>
      </c>
      <c r="G45" s="11"/>
    </row>
    <row r="46" spans="1:7" ht="16.5" x14ac:dyDescent="0.2">
      <c r="A46" s="33"/>
      <c r="B46" s="38"/>
      <c r="C46" s="38"/>
      <c r="D46" s="3" t="s">
        <v>112</v>
      </c>
      <c r="E46" s="2" t="s">
        <v>113</v>
      </c>
      <c r="F46" s="10" t="s">
        <v>292</v>
      </c>
      <c r="G46" s="11"/>
    </row>
    <row r="47" spans="1:7" ht="16.5" x14ac:dyDescent="0.2">
      <c r="A47" s="32"/>
      <c r="B47" s="39"/>
      <c r="C47" s="39"/>
      <c r="D47" s="3" t="s">
        <v>114</v>
      </c>
      <c r="E47" s="2" t="s">
        <v>115</v>
      </c>
      <c r="F47" s="10" t="s">
        <v>292</v>
      </c>
      <c r="G47" s="11" t="s">
        <v>318</v>
      </c>
    </row>
    <row r="48" spans="1:7" ht="16.5" x14ac:dyDescent="0.2">
      <c r="A48" s="37" t="s">
        <v>116</v>
      </c>
      <c r="B48" s="37" t="s">
        <v>117</v>
      </c>
      <c r="C48" s="37" t="s">
        <v>118</v>
      </c>
      <c r="D48" s="1" t="s">
        <v>119</v>
      </c>
      <c r="E48" s="2" t="s">
        <v>120</v>
      </c>
      <c r="F48" s="10" t="s">
        <v>292</v>
      </c>
      <c r="G48" s="11" t="s">
        <v>319</v>
      </c>
    </row>
    <row r="49" spans="1:7" ht="16.5" x14ac:dyDescent="0.2">
      <c r="A49" s="38"/>
      <c r="B49" s="38"/>
      <c r="C49" s="38"/>
      <c r="D49" s="1" t="s">
        <v>121</v>
      </c>
      <c r="E49" s="2" t="s">
        <v>122</v>
      </c>
      <c r="F49" s="10" t="s">
        <v>292</v>
      </c>
      <c r="G49" s="11" t="s">
        <v>320</v>
      </c>
    </row>
    <row r="50" spans="1:7" ht="16.5" x14ac:dyDescent="0.2">
      <c r="A50" s="38"/>
      <c r="B50" s="38"/>
      <c r="C50" s="38"/>
      <c r="D50" s="1" t="s">
        <v>123</v>
      </c>
      <c r="E50" s="2" t="s">
        <v>124</v>
      </c>
      <c r="F50" s="10" t="s">
        <v>292</v>
      </c>
      <c r="G50" s="11"/>
    </row>
    <row r="51" spans="1:7" ht="16.5" x14ac:dyDescent="0.2">
      <c r="A51" s="38"/>
      <c r="B51" s="38"/>
      <c r="C51" s="39"/>
      <c r="D51" s="1" t="s">
        <v>125</v>
      </c>
      <c r="E51" s="2" t="s">
        <v>126</v>
      </c>
      <c r="F51" s="10" t="s">
        <v>292</v>
      </c>
      <c r="G51" s="11"/>
    </row>
    <row r="52" spans="1:7" ht="16.5" x14ac:dyDescent="0.2">
      <c r="A52" s="38"/>
      <c r="B52" s="38"/>
      <c r="C52" s="37" t="s">
        <v>127</v>
      </c>
      <c r="D52" s="1" t="s">
        <v>128</v>
      </c>
      <c r="E52" s="2" t="s">
        <v>129</v>
      </c>
      <c r="F52" s="10" t="s">
        <v>292</v>
      </c>
      <c r="G52" s="11" t="s">
        <v>321</v>
      </c>
    </row>
    <row r="53" spans="1:7" ht="33" x14ac:dyDescent="0.2">
      <c r="A53" s="38"/>
      <c r="B53" s="38"/>
      <c r="C53" s="38"/>
      <c r="D53" s="1" t="s">
        <v>130</v>
      </c>
      <c r="E53" s="2" t="s">
        <v>131</v>
      </c>
      <c r="F53" s="10" t="s">
        <v>292</v>
      </c>
      <c r="G53" s="11" t="s">
        <v>345</v>
      </c>
    </row>
    <row r="54" spans="1:7" ht="16.5" x14ac:dyDescent="0.2">
      <c r="A54" s="38"/>
      <c r="B54" s="38"/>
      <c r="C54" s="38"/>
      <c r="D54" s="21" t="s">
        <v>132</v>
      </c>
      <c r="E54" s="22" t="s">
        <v>133</v>
      </c>
      <c r="F54" s="17" t="s">
        <v>296</v>
      </c>
      <c r="G54" s="18" t="s">
        <v>344</v>
      </c>
    </row>
    <row r="55" spans="1:7" ht="16.5" x14ac:dyDescent="0.2">
      <c r="A55" s="38"/>
      <c r="B55" s="39"/>
      <c r="C55" s="39"/>
      <c r="D55" s="21" t="s">
        <v>134</v>
      </c>
      <c r="E55" s="22" t="s">
        <v>135</v>
      </c>
      <c r="F55" s="17" t="s">
        <v>296</v>
      </c>
      <c r="G55" s="18" t="s">
        <v>322</v>
      </c>
    </row>
    <row r="56" spans="1:7" ht="16.5" x14ac:dyDescent="0.2">
      <c r="A56" s="38"/>
      <c r="B56" s="31" t="s">
        <v>136</v>
      </c>
      <c r="C56" s="31" t="s">
        <v>137</v>
      </c>
      <c r="D56" s="1" t="s">
        <v>138</v>
      </c>
      <c r="E56" s="4" t="s">
        <v>139</v>
      </c>
      <c r="F56" s="10" t="s">
        <v>292</v>
      </c>
      <c r="G56" s="11"/>
    </row>
    <row r="57" spans="1:7" ht="16.5" x14ac:dyDescent="0.2">
      <c r="A57" s="38"/>
      <c r="B57" s="33"/>
      <c r="C57" s="33"/>
      <c r="D57" s="3" t="s">
        <v>140</v>
      </c>
      <c r="E57" s="4" t="s">
        <v>141</v>
      </c>
      <c r="F57" s="10" t="s">
        <v>292</v>
      </c>
      <c r="G57" s="11"/>
    </row>
    <row r="58" spans="1:7" ht="16.5" x14ac:dyDescent="0.2">
      <c r="A58" s="38"/>
      <c r="B58" s="33"/>
      <c r="C58" s="33"/>
      <c r="D58" s="3" t="s">
        <v>140</v>
      </c>
      <c r="E58" s="4" t="s">
        <v>142</v>
      </c>
      <c r="F58" s="10" t="s">
        <v>292</v>
      </c>
      <c r="G58" s="11"/>
    </row>
    <row r="59" spans="1:7" ht="16.5" x14ac:dyDescent="0.2">
      <c r="A59" s="38"/>
      <c r="B59" s="33"/>
      <c r="C59" s="33"/>
      <c r="D59" s="1" t="s">
        <v>143</v>
      </c>
      <c r="E59" s="4" t="s">
        <v>144</v>
      </c>
      <c r="F59" s="10" t="s">
        <v>292</v>
      </c>
      <c r="G59" s="11" t="s">
        <v>323</v>
      </c>
    </row>
    <row r="60" spans="1:7" ht="33" x14ac:dyDescent="0.2">
      <c r="A60" s="38"/>
      <c r="B60" s="33"/>
      <c r="C60" s="33"/>
      <c r="D60" s="3" t="s">
        <v>145</v>
      </c>
      <c r="E60" s="4" t="s">
        <v>146</v>
      </c>
      <c r="F60" s="10" t="s">
        <v>292</v>
      </c>
      <c r="G60" s="11"/>
    </row>
    <row r="61" spans="1:7" ht="16.5" x14ac:dyDescent="0.2">
      <c r="A61" s="38"/>
      <c r="B61" s="33"/>
      <c r="C61" s="32"/>
      <c r="D61" s="23" t="s">
        <v>147</v>
      </c>
      <c r="E61" s="24" t="s">
        <v>148</v>
      </c>
      <c r="F61" s="25" t="s">
        <v>299</v>
      </c>
      <c r="G61" s="26"/>
    </row>
    <row r="62" spans="1:7" ht="16.5" x14ac:dyDescent="0.2">
      <c r="A62" s="38"/>
      <c r="B62" s="33"/>
      <c r="C62" s="31" t="s">
        <v>149</v>
      </c>
      <c r="D62" s="28" t="s">
        <v>150</v>
      </c>
      <c r="E62" s="24" t="s">
        <v>151</v>
      </c>
      <c r="F62" s="25" t="s">
        <v>299</v>
      </c>
      <c r="G62" s="26" t="s">
        <v>324</v>
      </c>
    </row>
    <row r="63" spans="1:7" ht="16.5" x14ac:dyDescent="0.2">
      <c r="A63" s="38"/>
      <c r="B63" s="33"/>
      <c r="C63" s="33"/>
      <c r="D63" s="3" t="s">
        <v>152</v>
      </c>
      <c r="E63" s="4" t="s">
        <v>153</v>
      </c>
      <c r="F63" s="10" t="s">
        <v>292</v>
      </c>
      <c r="G63" s="11"/>
    </row>
    <row r="64" spans="1:7" ht="16.5" x14ac:dyDescent="0.2">
      <c r="A64" s="38"/>
      <c r="B64" s="33"/>
      <c r="C64" s="33"/>
      <c r="D64" s="3" t="s">
        <v>154</v>
      </c>
      <c r="E64" s="4" t="s">
        <v>155</v>
      </c>
      <c r="F64" s="10" t="s">
        <v>292</v>
      </c>
      <c r="G64" s="11"/>
    </row>
    <row r="65" spans="1:7" ht="16.5" x14ac:dyDescent="0.2">
      <c r="A65" s="38"/>
      <c r="B65" s="32"/>
      <c r="C65" s="32"/>
      <c r="D65" s="3" t="s">
        <v>156</v>
      </c>
      <c r="E65" s="4" t="s">
        <v>157</v>
      </c>
      <c r="F65" s="10" t="s">
        <v>292</v>
      </c>
      <c r="G65" s="11"/>
    </row>
    <row r="66" spans="1:7" ht="16.5" x14ac:dyDescent="0.2">
      <c r="A66" s="38"/>
      <c r="B66" s="31" t="s">
        <v>158</v>
      </c>
      <c r="C66" s="31" t="s">
        <v>159</v>
      </c>
      <c r="D66" s="3" t="s">
        <v>160</v>
      </c>
      <c r="E66" s="4" t="s">
        <v>161</v>
      </c>
      <c r="F66" s="10" t="s">
        <v>292</v>
      </c>
      <c r="G66" s="11"/>
    </row>
    <row r="67" spans="1:7" ht="16.5" x14ac:dyDescent="0.2">
      <c r="A67" s="38"/>
      <c r="B67" s="33"/>
      <c r="C67" s="33"/>
      <c r="D67" s="1" t="s">
        <v>162</v>
      </c>
      <c r="E67" s="4" t="s">
        <v>163</v>
      </c>
      <c r="F67" s="10" t="s">
        <v>292</v>
      </c>
      <c r="G67" s="11" t="s">
        <v>325</v>
      </c>
    </row>
    <row r="68" spans="1:7" ht="33" x14ac:dyDescent="0.2">
      <c r="A68" s="38"/>
      <c r="B68" s="33"/>
      <c r="C68" s="32"/>
      <c r="D68" s="3" t="s">
        <v>164</v>
      </c>
      <c r="E68" s="4" t="s">
        <v>165</v>
      </c>
      <c r="F68" s="10" t="s">
        <v>292</v>
      </c>
      <c r="G68" s="11" t="s">
        <v>326</v>
      </c>
    </row>
    <row r="69" spans="1:7" ht="16.5" x14ac:dyDescent="0.2">
      <c r="A69" s="38"/>
      <c r="B69" s="33"/>
      <c r="C69" s="31" t="s">
        <v>166</v>
      </c>
      <c r="D69" s="3" t="s">
        <v>167</v>
      </c>
      <c r="E69" s="4" t="s">
        <v>168</v>
      </c>
      <c r="F69" s="10" t="s">
        <v>292</v>
      </c>
      <c r="G69" s="11" t="s">
        <v>327</v>
      </c>
    </row>
    <row r="70" spans="1:7" ht="33" x14ac:dyDescent="0.2">
      <c r="A70" s="38"/>
      <c r="B70" s="33"/>
      <c r="C70" s="33"/>
      <c r="D70" s="3" t="s">
        <v>169</v>
      </c>
      <c r="E70" s="4" t="s">
        <v>170</v>
      </c>
      <c r="F70" s="10" t="s">
        <v>292</v>
      </c>
      <c r="G70" s="11"/>
    </row>
    <row r="71" spans="1:7" ht="16.5" x14ac:dyDescent="0.2">
      <c r="A71" s="38"/>
      <c r="B71" s="33"/>
      <c r="C71" s="32"/>
      <c r="D71" s="3" t="s">
        <v>171</v>
      </c>
      <c r="E71" s="4" t="s">
        <v>172</v>
      </c>
      <c r="F71" s="10" t="s">
        <v>292</v>
      </c>
      <c r="G71" s="11"/>
    </row>
    <row r="72" spans="1:7" ht="16.5" x14ac:dyDescent="0.2">
      <c r="A72" s="38"/>
      <c r="B72" s="33"/>
      <c r="C72" s="31" t="s">
        <v>173</v>
      </c>
      <c r="D72" s="1" t="s">
        <v>174</v>
      </c>
      <c r="E72" s="4" t="s">
        <v>175</v>
      </c>
      <c r="F72" s="10" t="s">
        <v>292</v>
      </c>
      <c r="G72" s="11"/>
    </row>
    <row r="73" spans="1:7" ht="16.5" x14ac:dyDescent="0.2">
      <c r="A73" s="39"/>
      <c r="B73" s="32"/>
      <c r="C73" s="32"/>
      <c r="D73" s="3" t="s">
        <v>176</v>
      </c>
      <c r="E73" s="4" t="s">
        <v>177</v>
      </c>
      <c r="F73" s="10" t="s">
        <v>328</v>
      </c>
      <c r="G73" s="11" t="s">
        <v>329</v>
      </c>
    </row>
    <row r="74" spans="1:7" ht="16.5" x14ac:dyDescent="0.2">
      <c r="A74" s="31" t="s">
        <v>178</v>
      </c>
      <c r="B74" s="31" t="s">
        <v>179</v>
      </c>
      <c r="C74" s="31" t="s">
        <v>180</v>
      </c>
      <c r="D74" s="3" t="s">
        <v>181</v>
      </c>
      <c r="E74" s="4" t="s">
        <v>182</v>
      </c>
      <c r="F74" s="10" t="s">
        <v>292</v>
      </c>
      <c r="G74" s="11"/>
    </row>
    <row r="75" spans="1:7" ht="16.5" x14ac:dyDescent="0.2">
      <c r="A75" s="33"/>
      <c r="B75" s="33"/>
      <c r="C75" s="32"/>
      <c r="D75" s="3" t="s">
        <v>183</v>
      </c>
      <c r="E75" s="4" t="s">
        <v>184</v>
      </c>
      <c r="F75" s="10" t="s">
        <v>292</v>
      </c>
      <c r="G75" s="11"/>
    </row>
    <row r="76" spans="1:7" ht="16.5" x14ac:dyDescent="0.2">
      <c r="A76" s="33"/>
      <c r="B76" s="33"/>
      <c r="C76" s="31" t="s">
        <v>185</v>
      </c>
      <c r="D76" s="3" t="s">
        <v>186</v>
      </c>
      <c r="E76" s="4" t="s">
        <v>187</v>
      </c>
      <c r="F76" s="10" t="s">
        <v>292</v>
      </c>
      <c r="G76" s="11"/>
    </row>
    <row r="77" spans="1:7" ht="16.5" x14ac:dyDescent="0.2">
      <c r="A77" s="33"/>
      <c r="B77" s="33"/>
      <c r="C77" s="33"/>
      <c r="D77" s="3" t="s">
        <v>188</v>
      </c>
      <c r="E77" s="4" t="s">
        <v>189</v>
      </c>
      <c r="F77" s="10" t="s">
        <v>292</v>
      </c>
      <c r="G77" s="11" t="s">
        <v>330</v>
      </c>
    </row>
    <row r="78" spans="1:7" ht="16.5" x14ac:dyDescent="0.2">
      <c r="A78" s="33"/>
      <c r="B78" s="33"/>
      <c r="C78" s="33"/>
      <c r="D78" s="23" t="s">
        <v>190</v>
      </c>
      <c r="E78" s="24" t="s">
        <v>191</v>
      </c>
      <c r="F78" s="25" t="s">
        <v>299</v>
      </c>
      <c r="G78" s="26" t="s">
        <v>331</v>
      </c>
    </row>
    <row r="79" spans="1:7" ht="16.5" x14ac:dyDescent="0.2">
      <c r="A79" s="33"/>
      <c r="B79" s="32"/>
      <c r="C79" s="32"/>
      <c r="D79" s="23" t="s">
        <v>192</v>
      </c>
      <c r="E79" s="24" t="s">
        <v>193</v>
      </c>
      <c r="F79" s="25" t="s">
        <v>299</v>
      </c>
      <c r="G79" s="26" t="s">
        <v>332</v>
      </c>
    </row>
    <row r="80" spans="1:7" ht="16.5" x14ac:dyDescent="0.2">
      <c r="A80" s="33"/>
      <c r="B80" s="31" t="s">
        <v>194</v>
      </c>
      <c r="C80" s="31" t="s">
        <v>195</v>
      </c>
      <c r="D80" s="3" t="s">
        <v>196</v>
      </c>
      <c r="E80" s="4" t="s">
        <v>197</v>
      </c>
      <c r="F80" s="10" t="s">
        <v>292</v>
      </c>
      <c r="G80" s="11"/>
    </row>
    <row r="81" spans="1:7" ht="16.5" x14ac:dyDescent="0.2">
      <c r="A81" s="33"/>
      <c r="B81" s="33"/>
      <c r="C81" s="33"/>
      <c r="D81" s="3" t="s">
        <v>198</v>
      </c>
      <c r="E81" s="4" t="s">
        <v>199</v>
      </c>
      <c r="F81" s="10" t="s">
        <v>292</v>
      </c>
      <c r="G81" s="11"/>
    </row>
    <row r="82" spans="1:7" ht="33" x14ac:dyDescent="0.2">
      <c r="A82" s="33"/>
      <c r="B82" s="33"/>
      <c r="C82" s="32"/>
      <c r="D82" s="3" t="s">
        <v>200</v>
      </c>
      <c r="E82" s="2" t="s">
        <v>201</v>
      </c>
      <c r="F82" s="10" t="s">
        <v>292</v>
      </c>
      <c r="G82" s="11"/>
    </row>
    <row r="83" spans="1:7" ht="16.5" x14ac:dyDescent="0.2">
      <c r="A83" s="33"/>
      <c r="B83" s="33"/>
      <c r="C83" s="37" t="s">
        <v>202</v>
      </c>
      <c r="D83" s="1" t="s">
        <v>203</v>
      </c>
      <c r="E83" s="2" t="s">
        <v>204</v>
      </c>
      <c r="F83" s="10" t="s">
        <v>292</v>
      </c>
      <c r="G83" s="11"/>
    </row>
    <row r="84" spans="1:7" ht="16.5" x14ac:dyDescent="0.2">
      <c r="A84" s="33"/>
      <c r="B84" s="33"/>
      <c r="C84" s="38"/>
      <c r="D84" s="3" t="s">
        <v>205</v>
      </c>
      <c r="E84" s="2" t="s">
        <v>206</v>
      </c>
      <c r="F84" s="10" t="s">
        <v>292</v>
      </c>
      <c r="G84" s="11"/>
    </row>
    <row r="85" spans="1:7" ht="33" x14ac:dyDescent="0.2">
      <c r="A85" s="33"/>
      <c r="B85" s="33"/>
      <c r="C85" s="39"/>
      <c r="D85" s="3" t="s">
        <v>207</v>
      </c>
      <c r="E85" s="2" t="s">
        <v>208</v>
      </c>
      <c r="F85" s="10" t="s">
        <v>292</v>
      </c>
      <c r="G85" s="11"/>
    </row>
    <row r="86" spans="1:7" ht="16.5" x14ac:dyDescent="0.2">
      <c r="A86" s="33"/>
      <c r="B86" s="33"/>
      <c r="C86" s="37" t="s">
        <v>209</v>
      </c>
      <c r="D86" s="3" t="s">
        <v>210</v>
      </c>
      <c r="E86" s="2" t="s">
        <v>211</v>
      </c>
      <c r="F86" s="10" t="s">
        <v>292</v>
      </c>
      <c r="G86" s="11"/>
    </row>
    <row r="87" spans="1:7" ht="16.5" x14ac:dyDescent="0.2">
      <c r="A87" s="33"/>
      <c r="B87" s="33"/>
      <c r="C87" s="38"/>
      <c r="D87" s="1" t="s">
        <v>212</v>
      </c>
      <c r="E87" s="2" t="s">
        <v>213</v>
      </c>
      <c r="F87" s="10" t="s">
        <v>292</v>
      </c>
      <c r="G87" s="11"/>
    </row>
    <row r="88" spans="1:7" ht="16.5" x14ac:dyDescent="0.2">
      <c r="A88" s="32"/>
      <c r="B88" s="32"/>
      <c r="C88" s="39"/>
      <c r="D88" s="1" t="s">
        <v>214</v>
      </c>
      <c r="E88" s="2" t="s">
        <v>215</v>
      </c>
      <c r="F88" s="10" t="s">
        <v>292</v>
      </c>
      <c r="G88" s="11"/>
    </row>
    <row r="89" spans="1:7" ht="16.5" x14ac:dyDescent="0.2">
      <c r="A89" s="37" t="s">
        <v>216</v>
      </c>
      <c r="B89" s="37" t="s">
        <v>217</v>
      </c>
      <c r="C89" s="1" t="s">
        <v>218</v>
      </c>
      <c r="D89" s="28" t="s">
        <v>219</v>
      </c>
      <c r="E89" s="27" t="s">
        <v>220</v>
      </c>
      <c r="F89" s="25" t="s">
        <v>299</v>
      </c>
      <c r="G89" s="26" t="s">
        <v>333</v>
      </c>
    </row>
    <row r="90" spans="1:7" ht="16.5" x14ac:dyDescent="0.2">
      <c r="A90" s="38"/>
      <c r="B90" s="38"/>
      <c r="C90" s="37" t="s">
        <v>221</v>
      </c>
      <c r="D90" s="1" t="s">
        <v>222</v>
      </c>
      <c r="E90" s="2" t="s">
        <v>223</v>
      </c>
      <c r="F90" s="10" t="s">
        <v>292</v>
      </c>
      <c r="G90" s="11"/>
    </row>
    <row r="91" spans="1:7" ht="33" x14ac:dyDescent="0.2">
      <c r="A91" s="38"/>
      <c r="B91" s="38"/>
      <c r="C91" s="38"/>
      <c r="D91" s="1" t="s">
        <v>224</v>
      </c>
      <c r="E91" s="2" t="s">
        <v>225</v>
      </c>
      <c r="F91" s="10" t="s">
        <v>292</v>
      </c>
      <c r="G91" s="11" t="s">
        <v>335</v>
      </c>
    </row>
    <row r="92" spans="1:7" ht="16.5" x14ac:dyDescent="0.2">
      <c r="A92" s="38"/>
      <c r="B92" s="38"/>
      <c r="C92" s="38"/>
      <c r="D92" s="28" t="s">
        <v>226</v>
      </c>
      <c r="E92" s="27" t="s">
        <v>227</v>
      </c>
      <c r="F92" s="25" t="s">
        <v>299</v>
      </c>
      <c r="G92" s="26" t="s">
        <v>334</v>
      </c>
    </row>
    <row r="93" spans="1:7" ht="16.5" x14ac:dyDescent="0.2">
      <c r="A93" s="38"/>
      <c r="B93" s="38"/>
      <c r="C93" s="39"/>
      <c r="D93" s="28" t="s">
        <v>228</v>
      </c>
      <c r="E93" s="27" t="s">
        <v>229</v>
      </c>
      <c r="F93" s="25" t="s">
        <v>299</v>
      </c>
      <c r="G93" s="26"/>
    </row>
    <row r="94" spans="1:7" ht="33" x14ac:dyDescent="0.2">
      <c r="A94" s="38"/>
      <c r="B94" s="38"/>
      <c r="C94" s="37" t="s">
        <v>230</v>
      </c>
      <c r="D94" s="1" t="s">
        <v>231</v>
      </c>
      <c r="E94" s="2" t="s">
        <v>232</v>
      </c>
      <c r="F94" s="10" t="s">
        <v>292</v>
      </c>
      <c r="G94" s="11"/>
    </row>
    <row r="95" spans="1:7" ht="33" x14ac:dyDescent="0.2">
      <c r="A95" s="38"/>
      <c r="B95" s="38"/>
      <c r="C95" s="38"/>
      <c r="D95" s="1" t="s">
        <v>233</v>
      </c>
      <c r="E95" s="2" t="s">
        <v>287</v>
      </c>
      <c r="F95" s="10" t="s">
        <v>292</v>
      </c>
      <c r="G95" s="11"/>
    </row>
    <row r="96" spans="1:7" ht="16.5" x14ac:dyDescent="0.2">
      <c r="A96" s="38"/>
      <c r="B96" s="38"/>
      <c r="C96" s="38"/>
      <c r="D96" s="1" t="s">
        <v>234</v>
      </c>
      <c r="E96" s="2" t="s">
        <v>235</v>
      </c>
      <c r="F96" s="10" t="s">
        <v>292</v>
      </c>
      <c r="G96" s="11"/>
    </row>
    <row r="97" spans="1:7" ht="33" x14ac:dyDescent="0.2">
      <c r="A97" s="38"/>
      <c r="B97" s="38"/>
      <c r="C97" s="38"/>
      <c r="D97" s="1" t="s">
        <v>236</v>
      </c>
      <c r="E97" s="2" t="s">
        <v>237</v>
      </c>
      <c r="F97" s="10" t="s">
        <v>292</v>
      </c>
      <c r="G97" s="11"/>
    </row>
    <row r="98" spans="1:7" ht="16.5" x14ac:dyDescent="0.2">
      <c r="A98" s="38"/>
      <c r="B98" s="39"/>
      <c r="C98" s="39"/>
      <c r="D98" s="1" t="s">
        <v>238</v>
      </c>
      <c r="E98" s="2" t="s">
        <v>239</v>
      </c>
      <c r="F98" s="10" t="s">
        <v>292</v>
      </c>
      <c r="G98" s="11"/>
    </row>
    <row r="99" spans="1:7" ht="16.5" x14ac:dyDescent="0.2">
      <c r="A99" s="38"/>
      <c r="B99" s="37" t="s">
        <v>240</v>
      </c>
      <c r="C99" s="37" t="s">
        <v>241</v>
      </c>
      <c r="D99" s="1" t="s">
        <v>242</v>
      </c>
      <c r="E99" s="2" t="s">
        <v>288</v>
      </c>
      <c r="F99" s="10" t="s">
        <v>292</v>
      </c>
      <c r="G99" s="11"/>
    </row>
    <row r="100" spans="1:7" ht="33" x14ac:dyDescent="0.2">
      <c r="A100" s="38"/>
      <c r="B100" s="38"/>
      <c r="C100" s="38"/>
      <c r="D100" s="1" t="s">
        <v>243</v>
      </c>
      <c r="E100" s="2" t="s">
        <v>244</v>
      </c>
      <c r="F100" s="29" t="s">
        <v>292</v>
      </c>
      <c r="G100" s="30" t="s">
        <v>347</v>
      </c>
    </row>
    <row r="101" spans="1:7" ht="33" x14ac:dyDescent="0.2">
      <c r="A101" s="38"/>
      <c r="B101" s="38"/>
      <c r="C101" s="39"/>
      <c r="D101" s="1" t="s">
        <v>245</v>
      </c>
      <c r="E101" s="2" t="s">
        <v>246</v>
      </c>
      <c r="F101" s="10" t="s">
        <v>292</v>
      </c>
      <c r="G101" s="11"/>
    </row>
    <row r="102" spans="1:7" ht="33" x14ac:dyDescent="0.2">
      <c r="A102" s="38"/>
      <c r="B102" s="38"/>
      <c r="C102" s="31" t="s">
        <v>247</v>
      </c>
      <c r="D102" s="3" t="s">
        <v>248</v>
      </c>
      <c r="E102" s="2" t="s">
        <v>249</v>
      </c>
      <c r="F102" s="10" t="s">
        <v>292</v>
      </c>
      <c r="G102" s="11" t="s">
        <v>336</v>
      </c>
    </row>
    <row r="103" spans="1:7" ht="16.5" x14ac:dyDescent="0.2">
      <c r="A103" s="38"/>
      <c r="B103" s="38"/>
      <c r="C103" s="33"/>
      <c r="D103" s="1" t="s">
        <v>250</v>
      </c>
      <c r="E103" s="4" t="s">
        <v>289</v>
      </c>
      <c r="F103" s="10" t="s">
        <v>292</v>
      </c>
      <c r="G103" s="11" t="s">
        <v>337</v>
      </c>
    </row>
    <row r="104" spans="1:7" ht="16.5" x14ac:dyDescent="0.2">
      <c r="A104" s="38"/>
      <c r="B104" s="38"/>
      <c r="C104" s="33"/>
      <c r="D104" s="3" t="s">
        <v>251</v>
      </c>
      <c r="E104" s="2" t="s">
        <v>252</v>
      </c>
      <c r="F104" s="10" t="s">
        <v>292</v>
      </c>
      <c r="G104" s="11"/>
    </row>
    <row r="105" spans="1:7" ht="16.5" x14ac:dyDescent="0.2">
      <c r="A105" s="38"/>
      <c r="B105" s="38"/>
      <c r="C105" s="32"/>
      <c r="D105" s="1" t="s">
        <v>253</v>
      </c>
      <c r="E105" s="4" t="s">
        <v>254</v>
      </c>
      <c r="F105" s="10" t="s">
        <v>292</v>
      </c>
      <c r="G105" s="11" t="s">
        <v>339</v>
      </c>
    </row>
    <row r="106" spans="1:7" ht="33" x14ac:dyDescent="0.2">
      <c r="A106" s="38"/>
      <c r="B106" s="38"/>
      <c r="C106" s="31" t="s">
        <v>255</v>
      </c>
      <c r="D106" s="1" t="s">
        <v>256</v>
      </c>
      <c r="E106" s="4" t="s">
        <v>290</v>
      </c>
      <c r="F106" s="10" t="s">
        <v>292</v>
      </c>
      <c r="G106" s="11" t="s">
        <v>338</v>
      </c>
    </row>
    <row r="107" spans="1:7" ht="16.5" x14ac:dyDescent="0.2">
      <c r="A107" s="38"/>
      <c r="B107" s="38"/>
      <c r="C107" s="33"/>
      <c r="D107" s="1" t="s">
        <v>256</v>
      </c>
      <c r="E107" s="4" t="s">
        <v>257</v>
      </c>
      <c r="F107" s="10" t="s">
        <v>292</v>
      </c>
      <c r="G107" s="11"/>
    </row>
    <row r="108" spans="1:7" ht="33" x14ac:dyDescent="0.2">
      <c r="A108" s="39"/>
      <c r="B108" s="39"/>
      <c r="C108" s="32"/>
      <c r="D108" s="3" t="s">
        <v>258</v>
      </c>
      <c r="E108" s="4" t="s">
        <v>259</v>
      </c>
      <c r="F108" s="10" t="s">
        <v>292</v>
      </c>
      <c r="G108" s="11"/>
    </row>
    <row r="109" spans="1:7" ht="33" x14ac:dyDescent="0.2">
      <c r="A109" s="31" t="s">
        <v>260</v>
      </c>
      <c r="B109" s="31" t="s">
        <v>261</v>
      </c>
      <c r="C109" s="31" t="s">
        <v>262</v>
      </c>
      <c r="D109" s="3" t="s">
        <v>263</v>
      </c>
      <c r="E109" s="4" t="s">
        <v>264</v>
      </c>
      <c r="F109" s="10" t="s">
        <v>292</v>
      </c>
      <c r="G109" s="11"/>
    </row>
    <row r="110" spans="1:7" ht="33" x14ac:dyDescent="0.2">
      <c r="A110" s="33"/>
      <c r="B110" s="33"/>
      <c r="C110" s="33"/>
      <c r="D110" s="3" t="s">
        <v>265</v>
      </c>
      <c r="E110" s="4" t="s">
        <v>266</v>
      </c>
      <c r="F110" s="10" t="s">
        <v>292</v>
      </c>
      <c r="G110" s="11"/>
    </row>
    <row r="111" spans="1:7" ht="33" x14ac:dyDescent="0.2">
      <c r="A111" s="33"/>
      <c r="B111" s="33"/>
      <c r="C111" s="33"/>
      <c r="D111" s="3" t="s">
        <v>267</v>
      </c>
      <c r="E111" s="4" t="s">
        <v>268</v>
      </c>
      <c r="F111" s="10" t="s">
        <v>292</v>
      </c>
      <c r="G111" s="11" t="s">
        <v>340</v>
      </c>
    </row>
    <row r="112" spans="1:7" ht="33" x14ac:dyDescent="0.2">
      <c r="A112" s="33"/>
      <c r="B112" s="32"/>
      <c r="C112" s="32"/>
      <c r="D112" s="3" t="s">
        <v>269</v>
      </c>
      <c r="E112" s="4" t="s">
        <v>270</v>
      </c>
      <c r="F112" s="10" t="s">
        <v>292</v>
      </c>
      <c r="G112" s="11"/>
    </row>
    <row r="113" spans="1:7" ht="33" x14ac:dyDescent="0.2">
      <c r="A113" s="33"/>
      <c r="B113" s="34" t="s">
        <v>271</v>
      </c>
      <c r="C113" s="34" t="s">
        <v>272</v>
      </c>
      <c r="D113" s="5" t="s">
        <v>273</v>
      </c>
      <c r="E113" s="6" t="s">
        <v>274</v>
      </c>
      <c r="F113" s="10" t="s">
        <v>292</v>
      </c>
      <c r="G113" s="11" t="s">
        <v>341</v>
      </c>
    </row>
    <row r="114" spans="1:7" ht="33" x14ac:dyDescent="0.2">
      <c r="A114" s="33"/>
      <c r="B114" s="35"/>
      <c r="C114" s="36"/>
      <c r="D114" s="23" t="s">
        <v>275</v>
      </c>
      <c r="E114" s="24" t="s">
        <v>276</v>
      </c>
      <c r="F114" s="25" t="s">
        <v>299</v>
      </c>
      <c r="G114" s="26" t="s">
        <v>342</v>
      </c>
    </row>
    <row r="115" spans="1:7" ht="16.5" x14ac:dyDescent="0.2">
      <c r="A115" s="33"/>
      <c r="B115" s="35"/>
      <c r="C115" s="31" t="s">
        <v>277</v>
      </c>
      <c r="D115" s="3" t="s">
        <v>278</v>
      </c>
      <c r="E115" s="4" t="s">
        <v>291</v>
      </c>
      <c r="F115" s="10" t="s">
        <v>292</v>
      </c>
      <c r="G115" s="11" t="s">
        <v>343</v>
      </c>
    </row>
    <row r="116" spans="1:7" ht="33" x14ac:dyDescent="0.2">
      <c r="A116" s="33"/>
      <c r="B116" s="35"/>
      <c r="C116" s="33"/>
      <c r="D116" s="3" t="s">
        <v>279</v>
      </c>
      <c r="E116" s="2" t="s">
        <v>280</v>
      </c>
      <c r="F116" s="10" t="s">
        <v>292</v>
      </c>
      <c r="G116" s="11"/>
    </row>
    <row r="117" spans="1:7" ht="33" x14ac:dyDescent="0.2">
      <c r="A117" s="33"/>
      <c r="B117" s="35"/>
      <c r="C117" s="33"/>
      <c r="D117" s="3" t="s">
        <v>281</v>
      </c>
      <c r="E117" s="4" t="s">
        <v>282</v>
      </c>
      <c r="F117" s="10" t="s">
        <v>292</v>
      </c>
      <c r="G117" s="11"/>
    </row>
    <row r="118" spans="1:7" ht="16.5" x14ac:dyDescent="0.2">
      <c r="A118" s="32"/>
      <c r="B118" s="36"/>
      <c r="C118" s="32"/>
      <c r="D118" s="3" t="s">
        <v>283</v>
      </c>
      <c r="E118" s="2" t="s">
        <v>284</v>
      </c>
      <c r="F118" s="10" t="s">
        <v>292</v>
      </c>
      <c r="G118" s="11"/>
    </row>
  </sheetData>
  <autoFilter ref="A1:G118" xr:uid="{D69B9840-E5A3-468F-AC7D-E19785F7BFA6}"/>
  <mergeCells count="50">
    <mergeCell ref="B109:B112"/>
    <mergeCell ref="B113:B118"/>
    <mergeCell ref="A109:A118"/>
    <mergeCell ref="A89:A108"/>
    <mergeCell ref="B56:B65"/>
    <mergeCell ref="B66:B73"/>
    <mergeCell ref="B74:B79"/>
    <mergeCell ref="B80:B88"/>
    <mergeCell ref="B89:B98"/>
    <mergeCell ref="A74:A88"/>
    <mergeCell ref="A48:A73"/>
    <mergeCell ref="A23:A47"/>
    <mergeCell ref="A2:A22"/>
    <mergeCell ref="B99:B108"/>
    <mergeCell ref="B2:B7"/>
    <mergeCell ref="B8:B22"/>
    <mergeCell ref="B23:B34"/>
    <mergeCell ref="B35:B47"/>
    <mergeCell ref="B48:B55"/>
    <mergeCell ref="C115:C118"/>
    <mergeCell ref="C113:C114"/>
    <mergeCell ref="C109:C112"/>
    <mergeCell ref="C106:C108"/>
    <mergeCell ref="C102:C105"/>
    <mergeCell ref="C99:C101"/>
    <mergeCell ref="C94:C98"/>
    <mergeCell ref="C90:C93"/>
    <mergeCell ref="C86:C88"/>
    <mergeCell ref="C83:C85"/>
    <mergeCell ref="C80:C82"/>
    <mergeCell ref="C76:C79"/>
    <mergeCell ref="C74:C75"/>
    <mergeCell ref="C72:C73"/>
    <mergeCell ref="C69:C71"/>
    <mergeCell ref="C66:C68"/>
    <mergeCell ref="C62:C65"/>
    <mergeCell ref="C56:C61"/>
    <mergeCell ref="C52:C55"/>
    <mergeCell ref="C48:C51"/>
    <mergeCell ref="C39:C42"/>
    <mergeCell ref="C43:C47"/>
    <mergeCell ref="C37:C38"/>
    <mergeCell ref="C29:C34"/>
    <mergeCell ref="C23:C28"/>
    <mergeCell ref="C2:C3"/>
    <mergeCell ref="C19:C22"/>
    <mergeCell ref="C14:C18"/>
    <mergeCell ref="C9:C13"/>
    <mergeCell ref="C6:C7"/>
    <mergeCell ref="C4:C5"/>
  </mergeCells>
  <phoneticPr fontId="4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C899-0D2F-44AF-866C-4BFC08E9A04D}">
  <dimension ref="A3:F22"/>
  <sheetViews>
    <sheetView workbookViewId="0">
      <selection activeCell="C21" sqref="C21"/>
    </sheetView>
  </sheetViews>
  <sheetFormatPr defaultRowHeight="14.25" x14ac:dyDescent="0.2"/>
  <cols>
    <col min="1" max="1" width="15.625" bestFit="1" customWidth="1"/>
    <col min="2" max="2" width="9.125" bestFit="1" customWidth="1"/>
    <col min="3" max="3" width="7.125" bestFit="1" customWidth="1"/>
    <col min="4" max="4" width="6" bestFit="1" customWidth="1"/>
    <col min="5" max="5" width="7.125" bestFit="1" customWidth="1"/>
    <col min="6" max="6" width="7" bestFit="1" customWidth="1"/>
  </cols>
  <sheetData>
    <row r="3" spans="1:6" x14ac:dyDescent="0.2">
      <c r="A3" s="55" t="s">
        <v>348</v>
      </c>
      <c r="B3" t="s">
        <v>355</v>
      </c>
      <c r="C3" t="s">
        <v>356</v>
      </c>
    </row>
    <row r="4" spans="1:6" x14ac:dyDescent="0.2">
      <c r="A4" s="56" t="s">
        <v>9</v>
      </c>
      <c r="B4" s="57">
        <v>0.7142857142857143</v>
      </c>
      <c r="C4" s="57">
        <v>21</v>
      </c>
    </row>
    <row r="5" spans="1:6" x14ac:dyDescent="0.2">
      <c r="A5" s="56" t="s">
        <v>260</v>
      </c>
      <c r="B5" s="57">
        <v>0.95</v>
      </c>
      <c r="C5" s="57">
        <v>10</v>
      </c>
    </row>
    <row r="6" spans="1:6" x14ac:dyDescent="0.2">
      <c r="A6" s="56" t="s">
        <v>216</v>
      </c>
      <c r="B6" s="57">
        <v>0.92500000000000004</v>
      </c>
      <c r="C6" s="57">
        <v>20</v>
      </c>
    </row>
    <row r="7" spans="1:6" x14ac:dyDescent="0.2">
      <c r="A7" s="56" t="s">
        <v>57</v>
      </c>
      <c r="B7" s="57">
        <v>0.88</v>
      </c>
      <c r="C7" s="57">
        <v>25</v>
      </c>
    </row>
    <row r="8" spans="1:6" x14ac:dyDescent="0.2">
      <c r="A8" s="56" t="s">
        <v>178</v>
      </c>
      <c r="B8" s="57">
        <v>0.93333333333333335</v>
      </c>
      <c r="C8" s="57">
        <v>15</v>
      </c>
    </row>
    <row r="9" spans="1:6" x14ac:dyDescent="0.2">
      <c r="A9" s="56" t="s">
        <v>116</v>
      </c>
      <c r="B9" s="57">
        <v>0.88</v>
      </c>
      <c r="C9" s="57">
        <v>26</v>
      </c>
    </row>
    <row r="10" spans="1:6" x14ac:dyDescent="0.2">
      <c r="A10" s="56" t="s">
        <v>349</v>
      </c>
      <c r="B10" s="57">
        <v>0.87068965517241381</v>
      </c>
      <c r="C10" s="57">
        <v>117</v>
      </c>
    </row>
    <row r="14" spans="1:6" x14ac:dyDescent="0.2">
      <c r="A14" s="55" t="s">
        <v>356</v>
      </c>
      <c r="B14" s="55" t="s">
        <v>350</v>
      </c>
    </row>
    <row r="15" spans="1:6" x14ac:dyDescent="0.2">
      <c r="A15" s="55" t="s">
        <v>348</v>
      </c>
      <c r="B15" t="s">
        <v>351</v>
      </c>
      <c r="C15" t="s">
        <v>352</v>
      </c>
      <c r="D15" t="s">
        <v>353</v>
      </c>
      <c r="E15" t="s">
        <v>354</v>
      </c>
      <c r="F15" t="s">
        <v>349</v>
      </c>
    </row>
    <row r="16" spans="1:6" x14ac:dyDescent="0.2">
      <c r="A16" s="56" t="s">
        <v>9</v>
      </c>
      <c r="B16" s="58"/>
      <c r="C16" s="58">
        <v>4</v>
      </c>
      <c r="D16" s="58">
        <v>13</v>
      </c>
      <c r="E16" s="58">
        <v>4</v>
      </c>
      <c r="F16" s="58">
        <v>21</v>
      </c>
    </row>
    <row r="17" spans="1:6" x14ac:dyDescent="0.2">
      <c r="A17" s="56" t="s">
        <v>260</v>
      </c>
      <c r="B17" s="58"/>
      <c r="C17" s="58"/>
      <c r="D17" s="58">
        <v>9</v>
      </c>
      <c r="E17" s="58">
        <v>1</v>
      </c>
      <c r="F17" s="58">
        <v>10</v>
      </c>
    </row>
    <row r="18" spans="1:6" x14ac:dyDescent="0.2">
      <c r="A18" s="56" t="s">
        <v>216</v>
      </c>
      <c r="B18" s="58"/>
      <c r="C18" s="58"/>
      <c r="D18" s="58">
        <v>17</v>
      </c>
      <c r="E18" s="58">
        <v>3</v>
      </c>
      <c r="F18" s="58">
        <v>20</v>
      </c>
    </row>
    <row r="19" spans="1:6" x14ac:dyDescent="0.2">
      <c r="A19" s="56" t="s">
        <v>57</v>
      </c>
      <c r="B19" s="58"/>
      <c r="C19" s="58">
        <v>1</v>
      </c>
      <c r="D19" s="58">
        <v>20</v>
      </c>
      <c r="E19" s="58">
        <v>4</v>
      </c>
      <c r="F19" s="58">
        <v>25</v>
      </c>
    </row>
    <row r="20" spans="1:6" x14ac:dyDescent="0.2">
      <c r="A20" s="56" t="s">
        <v>178</v>
      </c>
      <c r="B20" s="58"/>
      <c r="C20" s="58"/>
      <c r="D20" s="58">
        <v>13</v>
      </c>
      <c r="E20" s="58">
        <v>2</v>
      </c>
      <c r="F20" s="58">
        <v>15</v>
      </c>
    </row>
    <row r="21" spans="1:6" x14ac:dyDescent="0.2">
      <c r="A21" s="56" t="s">
        <v>116</v>
      </c>
      <c r="B21" s="58">
        <v>1</v>
      </c>
      <c r="C21" s="58">
        <v>2</v>
      </c>
      <c r="D21" s="58">
        <v>21</v>
      </c>
      <c r="E21" s="58">
        <v>2</v>
      </c>
      <c r="F21" s="58">
        <v>26</v>
      </c>
    </row>
    <row r="22" spans="1:6" x14ac:dyDescent="0.2">
      <c r="A22" s="56" t="s">
        <v>349</v>
      </c>
      <c r="B22" s="58">
        <v>1</v>
      </c>
      <c r="C22" s="58">
        <v>7</v>
      </c>
      <c r="D22" s="58">
        <v>93</v>
      </c>
      <c r="E22" s="58">
        <v>16</v>
      </c>
      <c r="F22" s="58">
        <v>117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94B4-877F-40E9-884D-F9C106185DBF}">
  <sheetPr filterMode="1"/>
  <dimension ref="A1:H118"/>
  <sheetViews>
    <sheetView workbookViewId="0">
      <selection activeCell="E93" sqref="E93"/>
    </sheetView>
  </sheetViews>
  <sheetFormatPr defaultRowHeight="14.25" x14ac:dyDescent="0.2"/>
  <cols>
    <col min="3" max="3" width="20.25" customWidth="1"/>
    <col min="5" max="5" width="69.375" customWidth="1"/>
    <col min="8" max="8" width="21.625" customWidth="1"/>
  </cols>
  <sheetData>
    <row r="1" spans="1:8" ht="16.5" x14ac:dyDescent="0.2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285</v>
      </c>
      <c r="G1" s="14" t="s">
        <v>285</v>
      </c>
      <c r="H1" s="14" t="s">
        <v>286</v>
      </c>
    </row>
    <row r="2" spans="1:8" ht="33" hidden="1" x14ac:dyDescent="0.2">
      <c r="A2" s="43" t="s">
        <v>9</v>
      </c>
      <c r="B2" s="43" t="s">
        <v>5</v>
      </c>
      <c r="C2" s="43" t="s">
        <v>6</v>
      </c>
      <c r="D2" s="3" t="s">
        <v>7</v>
      </c>
      <c r="E2" s="4" t="s">
        <v>8</v>
      </c>
      <c r="F2" s="10" t="s">
        <v>292</v>
      </c>
      <c r="G2" s="10">
        <v>1</v>
      </c>
      <c r="H2" s="11" t="s">
        <v>293</v>
      </c>
    </row>
    <row r="3" spans="1:8" ht="33" hidden="1" x14ac:dyDescent="0.2">
      <c r="A3" s="44" t="str">
        <f t="shared" ref="A3:A8" si="0">A2</f>
        <v>健康与体能</v>
      </c>
      <c r="B3" s="44" t="str">
        <f t="shared" ref="B3:B6" si="1">B2</f>
        <v>身心状态</v>
      </c>
      <c r="C3" s="45" t="str">
        <f>C2</f>
        <v>具有健康的体态</v>
      </c>
      <c r="D3" s="5" t="s">
        <v>10</v>
      </c>
      <c r="E3" s="6" t="s">
        <v>11</v>
      </c>
      <c r="F3" s="10" t="s">
        <v>292</v>
      </c>
      <c r="G3" s="10">
        <v>1</v>
      </c>
      <c r="H3" s="11" t="str">
        <f>H2</f>
        <v>身高107cm，体重16kg，BMI偏轻</v>
      </c>
    </row>
    <row r="4" spans="1:8" ht="33" hidden="1" x14ac:dyDescent="0.2">
      <c r="A4" s="44" t="str">
        <f t="shared" si="0"/>
        <v>健康与体能</v>
      </c>
      <c r="B4" s="44" t="str">
        <f t="shared" si="1"/>
        <v>身心状态</v>
      </c>
      <c r="C4" s="46" t="s">
        <v>12</v>
      </c>
      <c r="D4" s="5" t="s">
        <v>13</v>
      </c>
      <c r="E4" s="6" t="s">
        <v>14</v>
      </c>
      <c r="F4" s="10" t="s">
        <v>292</v>
      </c>
      <c r="G4" s="10">
        <v>1</v>
      </c>
      <c r="H4" s="11" t="s">
        <v>294</v>
      </c>
    </row>
    <row r="5" spans="1:8" ht="33" hidden="1" x14ac:dyDescent="0.2">
      <c r="A5" s="44" t="str">
        <f t="shared" si="0"/>
        <v>健康与体能</v>
      </c>
      <c r="B5" s="44" t="str">
        <f t="shared" si="1"/>
        <v>身心状态</v>
      </c>
      <c r="C5" s="48" t="str">
        <f>C4</f>
        <v>情绪安定愉快</v>
      </c>
      <c r="D5" s="5" t="s">
        <v>15</v>
      </c>
      <c r="E5" s="6" t="s">
        <v>16</v>
      </c>
      <c r="F5" s="10" t="s">
        <v>292</v>
      </c>
      <c r="G5" s="10">
        <v>1</v>
      </c>
      <c r="H5" s="11" t="str">
        <f t="shared" ref="H5:H8" si="2">H4</f>
        <v>相比上学期有明显提升，能够很快自我调节情绪</v>
      </c>
    </row>
    <row r="6" spans="1:8" ht="33" hidden="1" x14ac:dyDescent="0.2">
      <c r="A6" s="44" t="str">
        <f t="shared" si="0"/>
        <v>健康与体能</v>
      </c>
      <c r="B6" s="44" t="str">
        <f t="shared" si="1"/>
        <v>身心状态</v>
      </c>
      <c r="C6" s="46" t="s">
        <v>17</v>
      </c>
      <c r="D6" s="5" t="s">
        <v>18</v>
      </c>
      <c r="E6" s="6" t="s">
        <v>19</v>
      </c>
      <c r="F6" s="10" t="s">
        <v>292</v>
      </c>
      <c r="G6" s="10">
        <v>1</v>
      </c>
      <c r="H6" s="11" t="str">
        <f t="shared" si="2"/>
        <v>相比上学期有明显提升，能够很快自我调节情绪</v>
      </c>
    </row>
    <row r="7" spans="1:8" ht="33" hidden="1" x14ac:dyDescent="0.2">
      <c r="A7" s="44" t="str">
        <f t="shared" si="0"/>
        <v>健康与体能</v>
      </c>
      <c r="B7" s="45" t="str">
        <f t="shared" ref="B7:C7" si="3">B6</f>
        <v>身心状态</v>
      </c>
      <c r="C7" s="48" t="str">
        <f t="shared" si="3"/>
        <v>具有一定的适应能力</v>
      </c>
      <c r="D7" s="5" t="s">
        <v>20</v>
      </c>
      <c r="E7" s="6" t="s">
        <v>21</v>
      </c>
      <c r="F7" s="10" t="s">
        <v>292</v>
      </c>
      <c r="G7" s="10">
        <v>1</v>
      </c>
      <c r="H7" s="11" t="str">
        <f t="shared" si="2"/>
        <v>相比上学期有明显提升，能够很快自我调节情绪</v>
      </c>
    </row>
    <row r="8" spans="1:8" ht="33" hidden="1" x14ac:dyDescent="0.2">
      <c r="A8" s="44" t="str">
        <f t="shared" si="0"/>
        <v>健康与体能</v>
      </c>
      <c r="B8" s="52" t="s">
        <v>22</v>
      </c>
      <c r="C8" s="7" t="s">
        <v>23</v>
      </c>
      <c r="D8" s="7" t="s">
        <v>24</v>
      </c>
      <c r="E8" s="8" t="s">
        <v>25</v>
      </c>
      <c r="F8" s="10" t="s">
        <v>292</v>
      </c>
      <c r="G8" s="10">
        <v>1</v>
      </c>
      <c r="H8" s="11" t="str">
        <f t="shared" si="2"/>
        <v>相比上学期有明显提升，能够很快自我调节情绪</v>
      </c>
    </row>
    <row r="9" spans="1:8" ht="49.5" hidden="1" x14ac:dyDescent="0.2">
      <c r="A9" s="44" t="str">
        <f t="shared" ref="A9:B9" si="4">A8</f>
        <v>健康与体能</v>
      </c>
      <c r="B9" s="53" t="str">
        <f t="shared" si="4"/>
        <v>动作发展</v>
      </c>
      <c r="C9" s="46" t="s">
        <v>26</v>
      </c>
      <c r="D9" s="5" t="s">
        <v>27</v>
      </c>
      <c r="E9" s="6" t="s">
        <v>28</v>
      </c>
      <c r="F9" s="10" t="s">
        <v>292</v>
      </c>
      <c r="G9" s="10">
        <v>1</v>
      </c>
      <c r="H9" s="11" t="s">
        <v>295</v>
      </c>
    </row>
    <row r="10" spans="1:8" ht="49.5" hidden="1" x14ac:dyDescent="0.2">
      <c r="A10" s="44" t="str">
        <f t="shared" ref="A10:C13" si="5">A9</f>
        <v>健康与体能</v>
      </c>
      <c r="B10" s="53" t="str">
        <f t="shared" si="5"/>
        <v>动作发展</v>
      </c>
      <c r="C10" s="47" t="str">
        <f t="shared" si="5"/>
        <v>具有一定的平衡能力，动作协调、灵敏</v>
      </c>
      <c r="D10" s="5" t="s">
        <v>29</v>
      </c>
      <c r="E10" s="6" t="s">
        <v>30</v>
      </c>
      <c r="F10" s="10" t="s">
        <v>292</v>
      </c>
      <c r="G10" s="10">
        <v>1</v>
      </c>
      <c r="H10" s="11" t="str">
        <f>H9</f>
        <v>喜欢出去散步时在马路牙子上保持平衡前行，有时候需要大人牵着</v>
      </c>
    </row>
    <row r="11" spans="1:8" ht="49.5" x14ac:dyDescent="0.2">
      <c r="A11" s="44" t="str">
        <f t="shared" si="5"/>
        <v>健康与体能</v>
      </c>
      <c r="B11" s="53" t="str">
        <f t="shared" si="5"/>
        <v>动作发展</v>
      </c>
      <c r="C11" s="47" t="str">
        <f t="shared" si="5"/>
        <v>具有一定的平衡能力，动作协调、灵敏</v>
      </c>
      <c r="D11" s="15" t="s">
        <v>31</v>
      </c>
      <c r="E11" s="16" t="s">
        <v>32</v>
      </c>
      <c r="F11" s="17" t="s">
        <v>296</v>
      </c>
      <c r="G11" s="17">
        <v>0</v>
      </c>
      <c r="H11" s="18" t="s">
        <v>297</v>
      </c>
    </row>
    <row r="12" spans="1:8" ht="49.5" hidden="1" x14ac:dyDescent="0.2">
      <c r="A12" s="44" t="str">
        <f t="shared" si="5"/>
        <v>健康与体能</v>
      </c>
      <c r="B12" s="53" t="str">
        <f t="shared" si="5"/>
        <v>动作发展</v>
      </c>
      <c r="C12" s="47" t="str">
        <f t="shared" si="5"/>
        <v>具有一定的平衡能力，动作协调、灵敏</v>
      </c>
      <c r="D12" s="5" t="s">
        <v>33</v>
      </c>
      <c r="E12" s="6" t="s">
        <v>34</v>
      </c>
      <c r="F12" s="10" t="s">
        <v>292</v>
      </c>
      <c r="G12" s="10">
        <v>1</v>
      </c>
      <c r="H12" s="11" t="str">
        <f>H11</f>
        <v>不同动作地衔接与组合不好，比较谨慎，不愿尝试稍微危险的动作</v>
      </c>
    </row>
    <row r="13" spans="1:8" ht="33" x14ac:dyDescent="0.2">
      <c r="A13" s="44" t="str">
        <f t="shared" si="5"/>
        <v>健康与体能</v>
      </c>
      <c r="B13" s="53" t="str">
        <f t="shared" si="5"/>
        <v>动作发展</v>
      </c>
      <c r="C13" s="48" t="str">
        <f t="shared" si="5"/>
        <v>具有一定的平衡能力，动作协调、灵敏</v>
      </c>
      <c r="D13" s="15" t="s">
        <v>35</v>
      </c>
      <c r="E13" s="16" t="s">
        <v>36</v>
      </c>
      <c r="F13" s="17" t="s">
        <v>296</v>
      </c>
      <c r="G13" s="17">
        <v>0</v>
      </c>
      <c r="H13" s="18" t="s">
        <v>298</v>
      </c>
    </row>
    <row r="14" spans="1:8" ht="16.5" x14ac:dyDescent="0.2">
      <c r="A14" s="44" t="str">
        <f t="shared" ref="A14:B14" si="6">A13</f>
        <v>健康与体能</v>
      </c>
      <c r="B14" s="53" t="str">
        <f t="shared" si="6"/>
        <v>动作发展</v>
      </c>
      <c r="C14" s="43" t="s">
        <v>37</v>
      </c>
      <c r="D14" s="23" t="s">
        <v>38</v>
      </c>
      <c r="E14" s="24" t="s">
        <v>39</v>
      </c>
      <c r="F14" s="25" t="s">
        <v>299</v>
      </c>
      <c r="G14" s="25">
        <v>0.5</v>
      </c>
      <c r="H14" s="26" t="s">
        <v>300</v>
      </c>
    </row>
    <row r="15" spans="1:8" ht="33" x14ac:dyDescent="0.2">
      <c r="A15" s="44" t="str">
        <f t="shared" ref="A15:C18" si="7">A14</f>
        <v>健康与体能</v>
      </c>
      <c r="B15" s="53" t="str">
        <f t="shared" si="7"/>
        <v>动作发展</v>
      </c>
      <c r="C15" s="44" t="str">
        <f t="shared" si="7"/>
        <v>具有一定的力量和耐力</v>
      </c>
      <c r="D15" s="19" t="s">
        <v>40</v>
      </c>
      <c r="E15" s="20" t="s">
        <v>41</v>
      </c>
      <c r="F15" s="17" t="s">
        <v>296</v>
      </c>
      <c r="G15" s="17">
        <v>0</v>
      </c>
      <c r="H15" s="18" t="s">
        <v>302</v>
      </c>
    </row>
    <row r="16" spans="1:8" ht="33" x14ac:dyDescent="0.2">
      <c r="A16" s="44" t="str">
        <f t="shared" si="7"/>
        <v>健康与体能</v>
      </c>
      <c r="B16" s="53" t="str">
        <f t="shared" si="7"/>
        <v>动作发展</v>
      </c>
      <c r="C16" s="44" t="str">
        <f t="shared" si="7"/>
        <v>具有一定的力量和耐力</v>
      </c>
      <c r="D16" s="19" t="s">
        <v>42</v>
      </c>
      <c r="E16" s="20" t="s">
        <v>43</v>
      </c>
      <c r="F16" s="17" t="s">
        <v>296</v>
      </c>
      <c r="G16" s="17">
        <v>0</v>
      </c>
      <c r="H16" s="18" t="s">
        <v>301</v>
      </c>
    </row>
    <row r="17" spans="1:8" ht="33" hidden="1" x14ac:dyDescent="0.2">
      <c r="A17" s="44" t="str">
        <f t="shared" si="7"/>
        <v>健康与体能</v>
      </c>
      <c r="B17" s="53" t="str">
        <f t="shared" si="7"/>
        <v>动作发展</v>
      </c>
      <c r="C17" s="44" t="str">
        <f t="shared" si="7"/>
        <v>具有一定的力量和耐力</v>
      </c>
      <c r="D17" s="3" t="s">
        <v>44</v>
      </c>
      <c r="E17" s="4" t="s">
        <v>45</v>
      </c>
      <c r="F17" s="10" t="s">
        <v>292</v>
      </c>
      <c r="G17" s="10">
        <v>1</v>
      </c>
      <c r="H17" s="11" t="str">
        <f>H16</f>
        <v>可以单脚连续向前3步，1m左右</v>
      </c>
    </row>
    <row r="18" spans="1:8" ht="16.5" x14ac:dyDescent="0.2">
      <c r="A18" s="44" t="str">
        <f t="shared" si="7"/>
        <v>健康与体能</v>
      </c>
      <c r="B18" s="53" t="str">
        <f t="shared" si="7"/>
        <v>动作发展</v>
      </c>
      <c r="C18" s="45" t="str">
        <f t="shared" si="7"/>
        <v>具有一定的力量和耐力</v>
      </c>
      <c r="D18" s="23" t="s">
        <v>46</v>
      </c>
      <c r="E18" s="24" t="s">
        <v>47</v>
      </c>
      <c r="F18" s="25" t="s">
        <v>299</v>
      </c>
      <c r="G18" s="25">
        <v>0.5</v>
      </c>
      <c r="H18" s="26" t="s">
        <v>303</v>
      </c>
    </row>
    <row r="19" spans="1:8" ht="16.5" hidden="1" x14ac:dyDescent="0.2">
      <c r="A19" s="44" t="str">
        <f t="shared" ref="A19:B19" si="8">A18</f>
        <v>健康与体能</v>
      </c>
      <c r="B19" s="53" t="str">
        <f t="shared" si="8"/>
        <v>动作发展</v>
      </c>
      <c r="C19" s="43" t="s">
        <v>48</v>
      </c>
      <c r="D19" s="3" t="s">
        <v>49</v>
      </c>
      <c r="E19" s="4" t="s">
        <v>50</v>
      </c>
      <c r="F19" s="10" t="s">
        <v>292</v>
      </c>
      <c r="G19" s="10">
        <v>1</v>
      </c>
      <c r="H19" s="11" t="str">
        <f t="shared" ref="H19:H21" si="9">H18</f>
        <v>现在经常走一会儿就要求抱</v>
      </c>
    </row>
    <row r="20" spans="1:8" ht="16.5" hidden="1" x14ac:dyDescent="0.2">
      <c r="A20" s="44" t="str">
        <f t="shared" ref="A20:C22" si="10">A19</f>
        <v>健康与体能</v>
      </c>
      <c r="B20" s="53" t="str">
        <f t="shared" si="10"/>
        <v>动作发展</v>
      </c>
      <c r="C20" s="44" t="str">
        <f t="shared" si="10"/>
        <v>手的动作灵活、协调</v>
      </c>
      <c r="D20" s="3" t="s">
        <v>51</v>
      </c>
      <c r="E20" s="4" t="s">
        <v>52</v>
      </c>
      <c r="F20" s="10" t="s">
        <v>292</v>
      </c>
      <c r="G20" s="10">
        <v>1</v>
      </c>
      <c r="H20" s="11" t="str">
        <f t="shared" si="9"/>
        <v>现在经常走一会儿就要求抱</v>
      </c>
    </row>
    <row r="21" spans="1:8" ht="16.5" x14ac:dyDescent="0.2">
      <c r="A21" s="44" t="str">
        <f t="shared" si="10"/>
        <v>健康与体能</v>
      </c>
      <c r="B21" s="53" t="str">
        <f t="shared" si="10"/>
        <v>动作发展</v>
      </c>
      <c r="C21" s="44" t="str">
        <f t="shared" si="10"/>
        <v>手的动作灵活、协调</v>
      </c>
      <c r="D21" s="23" t="s">
        <v>53</v>
      </c>
      <c r="E21" s="24" t="s">
        <v>54</v>
      </c>
      <c r="F21" s="25" t="s">
        <v>299</v>
      </c>
      <c r="G21" s="25">
        <v>0.5</v>
      </c>
      <c r="H21" s="26" t="str">
        <f t="shared" si="9"/>
        <v>现在经常走一会儿就要求抱</v>
      </c>
    </row>
    <row r="22" spans="1:8" ht="33" x14ac:dyDescent="0.2">
      <c r="A22" s="45" t="str">
        <f t="shared" si="10"/>
        <v>健康与体能</v>
      </c>
      <c r="B22" s="54" t="str">
        <f t="shared" si="10"/>
        <v>动作发展</v>
      </c>
      <c r="C22" s="45" t="str">
        <f t="shared" si="10"/>
        <v>手的动作灵活、协调</v>
      </c>
      <c r="D22" s="23" t="s">
        <v>55</v>
      </c>
      <c r="E22" s="24" t="s">
        <v>56</v>
      </c>
      <c r="F22" s="25" t="s">
        <v>299</v>
      </c>
      <c r="G22" s="25">
        <v>0.5</v>
      </c>
      <c r="H22" s="26" t="s">
        <v>304</v>
      </c>
    </row>
    <row r="23" spans="1:8" ht="33" hidden="1" x14ac:dyDescent="0.2">
      <c r="A23" s="43" t="s">
        <v>57</v>
      </c>
      <c r="B23" s="43" t="s">
        <v>58</v>
      </c>
      <c r="C23" s="43" t="s">
        <v>59</v>
      </c>
      <c r="D23" s="3" t="s">
        <v>60</v>
      </c>
      <c r="E23" s="4" t="s">
        <v>61</v>
      </c>
      <c r="F23" s="10" t="s">
        <v>292</v>
      </c>
      <c r="G23" s="10">
        <v>1</v>
      </c>
      <c r="H23" s="11" t="s">
        <v>305</v>
      </c>
    </row>
    <row r="24" spans="1:8" ht="33" x14ac:dyDescent="0.2">
      <c r="A24" s="44" t="str">
        <f t="shared" ref="A24:A35" si="11">A23</f>
        <v>习惯与自理</v>
      </c>
      <c r="B24" s="44" t="str">
        <f t="shared" ref="B24:B29" si="12">B23</f>
        <v>生活习惯和能力</v>
      </c>
      <c r="C24" s="44" t="str">
        <f t="shared" ref="C24:C28" si="13">C23</f>
        <v>具有基本的生活自理能力和良好的生活与卫生习惯</v>
      </c>
      <c r="D24" s="19" t="s">
        <v>62</v>
      </c>
      <c r="E24" s="20" t="s">
        <v>63</v>
      </c>
      <c r="F24" s="17" t="s">
        <v>296</v>
      </c>
      <c r="G24" s="17">
        <v>0</v>
      </c>
      <c r="H24" s="18" t="s">
        <v>306</v>
      </c>
    </row>
    <row r="25" spans="1:8" ht="33" hidden="1" x14ac:dyDescent="0.2">
      <c r="A25" s="44" t="str">
        <f t="shared" si="11"/>
        <v>习惯与自理</v>
      </c>
      <c r="B25" s="44" t="str">
        <f t="shared" si="12"/>
        <v>生活习惯和能力</v>
      </c>
      <c r="C25" s="44" t="str">
        <f t="shared" si="13"/>
        <v>具有基本的生活自理能力和良好的生活与卫生习惯</v>
      </c>
      <c r="D25" s="3" t="s">
        <v>64</v>
      </c>
      <c r="E25" s="4" t="s">
        <v>65</v>
      </c>
      <c r="F25" s="10" t="s">
        <v>292</v>
      </c>
      <c r="G25" s="10">
        <v>1</v>
      </c>
      <c r="H25" s="11" t="s">
        <v>307</v>
      </c>
    </row>
    <row r="26" spans="1:8" ht="66" hidden="1" x14ac:dyDescent="0.2">
      <c r="A26" s="44" t="str">
        <f t="shared" si="11"/>
        <v>习惯与自理</v>
      </c>
      <c r="B26" s="44" t="str">
        <f t="shared" si="12"/>
        <v>生活习惯和能力</v>
      </c>
      <c r="C26" s="44" t="str">
        <f t="shared" si="13"/>
        <v>具有基本的生活自理能力和良好的生活与卫生习惯</v>
      </c>
      <c r="D26" s="3" t="s">
        <v>66</v>
      </c>
      <c r="E26" s="4" t="s">
        <v>67</v>
      </c>
      <c r="F26" s="10" t="s">
        <v>292</v>
      </c>
      <c r="G26" s="10">
        <v>1</v>
      </c>
      <c r="H26" s="11" t="s">
        <v>308</v>
      </c>
    </row>
    <row r="27" spans="1:8" ht="33" x14ac:dyDescent="0.2">
      <c r="A27" s="44" t="str">
        <f t="shared" si="11"/>
        <v>习惯与自理</v>
      </c>
      <c r="B27" s="44" t="str">
        <f t="shared" si="12"/>
        <v>生活习惯和能力</v>
      </c>
      <c r="C27" s="44" t="str">
        <f t="shared" si="13"/>
        <v>具有基本的生活自理能力和良好的生活与卫生习惯</v>
      </c>
      <c r="D27" s="23" t="s">
        <v>68</v>
      </c>
      <c r="E27" s="24" t="s">
        <v>69</v>
      </c>
      <c r="F27" s="25" t="s">
        <v>299</v>
      </c>
      <c r="G27" s="25">
        <v>0.5</v>
      </c>
      <c r="H27" s="26" t="s">
        <v>309</v>
      </c>
    </row>
    <row r="28" spans="1:8" ht="33" x14ac:dyDescent="0.2">
      <c r="A28" s="44" t="str">
        <f t="shared" si="11"/>
        <v>习惯与自理</v>
      </c>
      <c r="B28" s="44" t="str">
        <f t="shared" si="12"/>
        <v>生活习惯和能力</v>
      </c>
      <c r="C28" s="45" t="str">
        <f t="shared" si="13"/>
        <v>具有基本的生活自理能力和良好的生活与卫生习惯</v>
      </c>
      <c r="D28" s="23" t="s">
        <v>70</v>
      </c>
      <c r="E28" s="24" t="s">
        <v>71</v>
      </c>
      <c r="F28" s="25" t="s">
        <v>299</v>
      </c>
      <c r="G28" s="25">
        <v>0.5</v>
      </c>
      <c r="H28" s="26" t="s">
        <v>310</v>
      </c>
    </row>
    <row r="29" spans="1:8" ht="33" hidden="1" x14ac:dyDescent="0.2">
      <c r="A29" s="44" t="str">
        <f t="shared" si="11"/>
        <v>习惯与自理</v>
      </c>
      <c r="B29" s="44" t="str">
        <f t="shared" si="12"/>
        <v>生活习惯和能力</v>
      </c>
      <c r="C29" s="43" t="s">
        <v>72</v>
      </c>
      <c r="D29" s="3" t="s">
        <v>73</v>
      </c>
      <c r="E29" s="4" t="s">
        <v>74</v>
      </c>
      <c r="F29" s="10" t="s">
        <v>292</v>
      </c>
      <c r="G29" s="10">
        <v>1</v>
      </c>
      <c r="H29" s="11" t="str">
        <f t="shared" ref="H29:H30" si="14">H28</f>
        <v>有时候偷懒不使用便纸</v>
      </c>
    </row>
    <row r="30" spans="1:8" ht="33" hidden="1" x14ac:dyDescent="0.2">
      <c r="A30" s="44" t="str">
        <f t="shared" si="11"/>
        <v>习惯与自理</v>
      </c>
      <c r="B30" s="44" t="str">
        <f t="shared" ref="B30:C34" si="15">B29</f>
        <v>生活习惯和能力</v>
      </c>
      <c r="C30" s="44" t="str">
        <f t="shared" si="15"/>
        <v>具有基本的自我保护能力</v>
      </c>
      <c r="D30" s="3" t="s">
        <v>75</v>
      </c>
      <c r="E30" s="4" t="s">
        <v>76</v>
      </c>
      <c r="F30" s="10" t="s">
        <v>292</v>
      </c>
      <c r="G30" s="10">
        <v>1</v>
      </c>
      <c r="H30" s="11" t="str">
        <f t="shared" si="14"/>
        <v>有时候偷懒不使用便纸</v>
      </c>
    </row>
    <row r="31" spans="1:8" ht="33" hidden="1" x14ac:dyDescent="0.2">
      <c r="A31" s="44" t="str">
        <f t="shared" si="11"/>
        <v>习惯与自理</v>
      </c>
      <c r="B31" s="44" t="str">
        <f t="shared" si="15"/>
        <v>生活习惯和能力</v>
      </c>
      <c r="C31" s="44" t="str">
        <f t="shared" si="15"/>
        <v>具有基本的自我保护能力</v>
      </c>
      <c r="D31" s="3" t="s">
        <v>77</v>
      </c>
      <c r="E31" s="4" t="s">
        <v>78</v>
      </c>
      <c r="F31" s="10" t="s">
        <v>292</v>
      </c>
      <c r="G31" s="10">
        <v>1</v>
      </c>
      <c r="H31" s="11" t="s">
        <v>311</v>
      </c>
    </row>
    <row r="32" spans="1:8" ht="33" hidden="1" x14ac:dyDescent="0.2">
      <c r="A32" s="44" t="str">
        <f t="shared" si="11"/>
        <v>习惯与自理</v>
      </c>
      <c r="B32" s="44" t="str">
        <f t="shared" si="15"/>
        <v>生活习惯和能力</v>
      </c>
      <c r="C32" s="44" t="str">
        <f t="shared" si="15"/>
        <v>具有基本的自我保护能力</v>
      </c>
      <c r="D32" s="3" t="s">
        <v>79</v>
      </c>
      <c r="E32" s="4" t="s">
        <v>80</v>
      </c>
      <c r="F32" s="10" t="s">
        <v>292</v>
      </c>
      <c r="G32" s="10">
        <v>1</v>
      </c>
      <c r="H32" s="11" t="str">
        <f>H31</f>
        <v>安全意识很高</v>
      </c>
    </row>
    <row r="33" spans="1:8" ht="49.5" hidden="1" x14ac:dyDescent="0.2">
      <c r="A33" s="44" t="str">
        <f t="shared" si="11"/>
        <v>习惯与自理</v>
      </c>
      <c r="B33" s="44" t="str">
        <f t="shared" si="15"/>
        <v>生活习惯和能力</v>
      </c>
      <c r="C33" s="44" t="str">
        <f t="shared" si="15"/>
        <v>具有基本的自我保护能力</v>
      </c>
      <c r="D33" s="3" t="s">
        <v>81</v>
      </c>
      <c r="E33" s="4" t="s">
        <v>82</v>
      </c>
      <c r="F33" s="10" t="s">
        <v>292</v>
      </c>
      <c r="G33" s="10">
        <v>1</v>
      </c>
      <c r="H33" s="11" t="s">
        <v>312</v>
      </c>
    </row>
    <row r="34" spans="1:8" ht="49.5" hidden="1" x14ac:dyDescent="0.2">
      <c r="A34" s="44" t="str">
        <f t="shared" si="11"/>
        <v>习惯与自理</v>
      </c>
      <c r="B34" s="45" t="str">
        <f t="shared" si="15"/>
        <v>生活习惯和能力</v>
      </c>
      <c r="C34" s="45" t="str">
        <f t="shared" si="15"/>
        <v>具有基本的自我保护能力</v>
      </c>
      <c r="D34" s="3" t="s">
        <v>83</v>
      </c>
      <c r="E34" s="4" t="s">
        <v>84</v>
      </c>
      <c r="F34" s="10" t="s">
        <v>292</v>
      </c>
      <c r="G34" s="10">
        <v>1</v>
      </c>
      <c r="H34" s="11" t="str">
        <f>H33</f>
        <v>有时候动画片单集太长会耍赖，大部分时间都严格遵循看2集共20分钟的要求。</v>
      </c>
    </row>
    <row r="35" spans="1:8" ht="33" x14ac:dyDescent="0.2">
      <c r="A35" s="44" t="str">
        <f t="shared" si="11"/>
        <v>习惯与自理</v>
      </c>
      <c r="B35" s="49" t="s">
        <v>85</v>
      </c>
      <c r="C35" s="3" t="s">
        <v>86</v>
      </c>
      <c r="D35" s="23" t="s">
        <v>87</v>
      </c>
      <c r="E35" s="24" t="s">
        <v>88</v>
      </c>
      <c r="F35" s="25" t="s">
        <v>299</v>
      </c>
      <c r="G35" s="25">
        <v>0.5</v>
      </c>
      <c r="H35" s="26" t="s">
        <v>346</v>
      </c>
    </row>
    <row r="36" spans="1:8" ht="33" hidden="1" x14ac:dyDescent="0.2">
      <c r="A36" s="44" t="str">
        <f t="shared" ref="A36:B37" si="16">A35</f>
        <v>习惯与自理</v>
      </c>
      <c r="B36" s="50" t="str">
        <f t="shared" si="16"/>
        <v>学习习惯</v>
      </c>
      <c r="C36" s="3" t="s">
        <v>89</v>
      </c>
      <c r="D36" s="3" t="s">
        <v>89</v>
      </c>
      <c r="E36" s="4" t="s">
        <v>90</v>
      </c>
      <c r="F36" s="10" t="s">
        <v>292</v>
      </c>
      <c r="G36" s="10">
        <v>1</v>
      </c>
      <c r="H36" s="11" t="s">
        <v>313</v>
      </c>
    </row>
    <row r="37" spans="1:8" ht="33" hidden="1" x14ac:dyDescent="0.2">
      <c r="A37" s="44" t="str">
        <f t="shared" si="16"/>
        <v>习惯与自理</v>
      </c>
      <c r="B37" s="50" t="str">
        <f t="shared" si="16"/>
        <v>学习习惯</v>
      </c>
      <c r="C37" s="49" t="s">
        <v>91</v>
      </c>
      <c r="D37" s="1" t="s">
        <v>92</v>
      </c>
      <c r="E37" s="2" t="s">
        <v>93</v>
      </c>
      <c r="F37" s="10" t="s">
        <v>292</v>
      </c>
      <c r="G37" s="10">
        <v>1</v>
      </c>
      <c r="H37" s="11" t="str">
        <f t="shared" ref="H37:H39" si="17">H36</f>
        <v>每次家里有新东西总会主动询问并摸索</v>
      </c>
    </row>
    <row r="38" spans="1:8" ht="33" hidden="1" x14ac:dyDescent="0.2">
      <c r="A38" s="44" t="str">
        <f t="shared" ref="A38:C38" si="18">A37</f>
        <v>习惯与自理</v>
      </c>
      <c r="B38" s="50" t="str">
        <f t="shared" si="18"/>
        <v>学习习惯</v>
      </c>
      <c r="C38" s="51" t="str">
        <f t="shared" si="18"/>
        <v>做事专注、坚持</v>
      </c>
      <c r="D38" s="1" t="s">
        <v>94</v>
      </c>
      <c r="E38" s="2" t="s">
        <v>95</v>
      </c>
      <c r="F38" s="10" t="s">
        <v>292</v>
      </c>
      <c r="G38" s="10">
        <v>1</v>
      </c>
      <c r="H38" s="11" t="str">
        <f t="shared" si="17"/>
        <v>每次家里有新东西总会主动询问并摸索</v>
      </c>
    </row>
    <row r="39" spans="1:8" ht="33" hidden="1" x14ac:dyDescent="0.2">
      <c r="A39" s="44" t="str">
        <f t="shared" ref="A39:B39" si="19">A38</f>
        <v>习惯与自理</v>
      </c>
      <c r="B39" s="50" t="str">
        <f t="shared" si="19"/>
        <v>学习习惯</v>
      </c>
      <c r="C39" s="49" t="s">
        <v>96</v>
      </c>
      <c r="D39" s="1" t="s">
        <v>97</v>
      </c>
      <c r="E39" s="2" t="s">
        <v>98</v>
      </c>
      <c r="F39" s="10" t="s">
        <v>292</v>
      </c>
      <c r="G39" s="10">
        <v>1</v>
      </c>
      <c r="H39" s="11" t="str">
        <f t="shared" si="17"/>
        <v>每次家里有新东西总会主动询问并摸索</v>
      </c>
    </row>
    <row r="40" spans="1:8" ht="49.5" hidden="1" x14ac:dyDescent="0.2">
      <c r="A40" s="44" t="str">
        <f t="shared" ref="A40:C42" si="20">A39</f>
        <v>习惯与自理</v>
      </c>
      <c r="B40" s="50" t="str">
        <f t="shared" si="20"/>
        <v>学习习惯</v>
      </c>
      <c r="C40" s="50" t="str">
        <f t="shared" si="20"/>
        <v>具有文明的言行举止</v>
      </c>
      <c r="D40" s="3" t="s">
        <v>99</v>
      </c>
      <c r="E40" s="2" t="s">
        <v>100</v>
      </c>
      <c r="F40" s="10" t="s">
        <v>292</v>
      </c>
      <c r="G40" s="10">
        <v>1</v>
      </c>
      <c r="H40" s="11" t="s">
        <v>314</v>
      </c>
    </row>
    <row r="41" spans="1:8" ht="33" hidden="1" x14ac:dyDescent="0.2">
      <c r="A41" s="44" t="str">
        <f t="shared" si="20"/>
        <v>习惯与自理</v>
      </c>
      <c r="B41" s="50" t="str">
        <f t="shared" si="20"/>
        <v>学习习惯</v>
      </c>
      <c r="C41" s="50" t="str">
        <f t="shared" si="20"/>
        <v>具有文明的言行举止</v>
      </c>
      <c r="D41" s="1" t="s">
        <v>101</v>
      </c>
      <c r="E41" s="2" t="s">
        <v>102</v>
      </c>
      <c r="F41" s="10" t="s">
        <v>292</v>
      </c>
      <c r="G41" s="10">
        <v>1</v>
      </c>
      <c r="H41" s="11" t="s">
        <v>315</v>
      </c>
    </row>
    <row r="42" spans="1:8" ht="16.5" x14ac:dyDescent="0.2">
      <c r="A42" s="44" t="str">
        <f t="shared" si="20"/>
        <v>习惯与自理</v>
      </c>
      <c r="B42" s="50" t="str">
        <f t="shared" si="20"/>
        <v>学习习惯</v>
      </c>
      <c r="C42" s="51" t="str">
        <f t="shared" si="20"/>
        <v>具有文明的言行举止</v>
      </c>
      <c r="D42" s="23" t="s">
        <v>103</v>
      </c>
      <c r="E42" s="27" t="s">
        <v>104</v>
      </c>
      <c r="F42" s="25" t="s">
        <v>299</v>
      </c>
      <c r="G42" s="25">
        <v>0.5</v>
      </c>
      <c r="H42" s="26" t="s">
        <v>316</v>
      </c>
    </row>
    <row r="43" spans="1:8" ht="16.5" hidden="1" x14ac:dyDescent="0.2">
      <c r="A43" s="44" t="str">
        <f t="shared" ref="A43:B43" si="21">A42</f>
        <v>习惯与自理</v>
      </c>
      <c r="B43" s="50" t="str">
        <f t="shared" si="21"/>
        <v>学习习惯</v>
      </c>
      <c r="C43" s="49" t="s">
        <v>105</v>
      </c>
      <c r="D43" s="1" t="s">
        <v>106</v>
      </c>
      <c r="E43" s="2" t="s">
        <v>107</v>
      </c>
      <c r="F43" s="10" t="s">
        <v>292</v>
      </c>
      <c r="G43" s="10">
        <v>1</v>
      </c>
      <c r="H43" s="11" t="s">
        <v>317</v>
      </c>
    </row>
    <row r="44" spans="1:8" ht="16.5" hidden="1" x14ac:dyDescent="0.2">
      <c r="A44" s="44" t="str">
        <f t="shared" ref="A44:C47" si="22">A43</f>
        <v>习惯与自理</v>
      </c>
      <c r="B44" s="50" t="str">
        <f t="shared" si="22"/>
        <v>学习习惯</v>
      </c>
      <c r="C44" s="50" t="str">
        <f t="shared" si="22"/>
        <v>遵守基本的行为规范</v>
      </c>
      <c r="D44" s="3" t="s">
        <v>108</v>
      </c>
      <c r="E44" s="2" t="s">
        <v>109</v>
      </c>
      <c r="F44" s="10" t="s">
        <v>292</v>
      </c>
      <c r="G44" s="10">
        <v>1</v>
      </c>
      <c r="H44" s="11" t="str">
        <f t="shared" ref="H44:H46" si="23">H43</f>
        <v>愿意排队等候</v>
      </c>
    </row>
    <row r="45" spans="1:8" ht="33" hidden="1" x14ac:dyDescent="0.2">
      <c r="A45" s="44" t="str">
        <f t="shared" si="22"/>
        <v>习惯与自理</v>
      </c>
      <c r="B45" s="50" t="str">
        <f t="shared" si="22"/>
        <v>学习习惯</v>
      </c>
      <c r="C45" s="50" t="str">
        <f t="shared" si="22"/>
        <v>遵守基本的行为规范</v>
      </c>
      <c r="D45" s="1" t="s">
        <v>110</v>
      </c>
      <c r="E45" s="2" t="s">
        <v>111</v>
      </c>
      <c r="F45" s="10" t="s">
        <v>292</v>
      </c>
      <c r="G45" s="10">
        <v>1</v>
      </c>
      <c r="H45" s="11" t="str">
        <f t="shared" si="23"/>
        <v>愿意排队等候</v>
      </c>
    </row>
    <row r="46" spans="1:8" ht="16.5" hidden="1" x14ac:dyDescent="0.2">
      <c r="A46" s="44" t="str">
        <f t="shared" si="22"/>
        <v>习惯与自理</v>
      </c>
      <c r="B46" s="50" t="str">
        <f t="shared" si="22"/>
        <v>学习习惯</v>
      </c>
      <c r="C46" s="50" t="str">
        <f t="shared" si="22"/>
        <v>遵守基本的行为规范</v>
      </c>
      <c r="D46" s="3" t="s">
        <v>112</v>
      </c>
      <c r="E46" s="2" t="s">
        <v>113</v>
      </c>
      <c r="F46" s="10" t="s">
        <v>292</v>
      </c>
      <c r="G46" s="10">
        <v>1</v>
      </c>
      <c r="H46" s="11" t="str">
        <f t="shared" si="23"/>
        <v>愿意排队等候</v>
      </c>
    </row>
    <row r="47" spans="1:8" ht="33" hidden="1" x14ac:dyDescent="0.2">
      <c r="A47" s="45" t="str">
        <f t="shared" si="22"/>
        <v>习惯与自理</v>
      </c>
      <c r="B47" s="51" t="str">
        <f t="shared" si="22"/>
        <v>学习习惯</v>
      </c>
      <c r="C47" s="51" t="str">
        <f t="shared" si="22"/>
        <v>遵守基本的行为规范</v>
      </c>
      <c r="D47" s="3" t="s">
        <v>114</v>
      </c>
      <c r="E47" s="2" t="s">
        <v>115</v>
      </c>
      <c r="F47" s="10" t="s">
        <v>292</v>
      </c>
      <c r="G47" s="10">
        <v>1</v>
      </c>
      <c r="H47" s="11" t="s">
        <v>318</v>
      </c>
    </row>
    <row r="48" spans="1:8" ht="33" hidden="1" x14ac:dyDescent="0.2">
      <c r="A48" s="49" t="s">
        <v>116</v>
      </c>
      <c r="B48" s="49" t="s">
        <v>117</v>
      </c>
      <c r="C48" s="49" t="s">
        <v>118</v>
      </c>
      <c r="D48" s="1" t="s">
        <v>119</v>
      </c>
      <c r="E48" s="2" t="s">
        <v>120</v>
      </c>
      <c r="F48" s="10" t="s">
        <v>292</v>
      </c>
      <c r="G48" s="10">
        <v>1</v>
      </c>
      <c r="H48" s="11" t="s">
        <v>319</v>
      </c>
    </row>
    <row r="49" spans="1:8" ht="33" hidden="1" x14ac:dyDescent="0.2">
      <c r="A49" s="50" t="str">
        <f t="shared" ref="A49:A66" si="24">A48</f>
        <v>自我与社会性</v>
      </c>
      <c r="B49" s="50" t="str">
        <f t="shared" ref="B49:B52" si="25">B48</f>
        <v>自我意识</v>
      </c>
      <c r="C49" s="50" t="str">
        <f t="shared" ref="C49:C51" si="26">C48</f>
        <v>知道自己和他人不同，接纳自我</v>
      </c>
      <c r="D49" s="1" t="s">
        <v>121</v>
      </c>
      <c r="E49" s="2" t="s">
        <v>122</v>
      </c>
      <c r="F49" s="10" t="s">
        <v>292</v>
      </c>
      <c r="G49" s="10">
        <v>1</v>
      </c>
      <c r="H49" s="11" t="s">
        <v>320</v>
      </c>
    </row>
    <row r="50" spans="1:8" ht="33" hidden="1" x14ac:dyDescent="0.2">
      <c r="A50" s="50" t="str">
        <f t="shared" si="24"/>
        <v>自我与社会性</v>
      </c>
      <c r="B50" s="50" t="str">
        <f t="shared" si="25"/>
        <v>自我意识</v>
      </c>
      <c r="C50" s="50" t="str">
        <f t="shared" si="26"/>
        <v>知道自己和他人不同，接纳自我</v>
      </c>
      <c r="D50" s="1" t="s">
        <v>123</v>
      </c>
      <c r="E50" s="2" t="s">
        <v>124</v>
      </c>
      <c r="F50" s="10" t="s">
        <v>292</v>
      </c>
      <c r="G50" s="10">
        <v>1</v>
      </c>
      <c r="H50" s="11" t="str">
        <f t="shared" ref="H50:H51" si="27">H49</f>
        <v>回家后会说明同学的爱好</v>
      </c>
    </row>
    <row r="51" spans="1:8" ht="33" hidden="1" x14ac:dyDescent="0.2">
      <c r="A51" s="50" t="str">
        <f t="shared" si="24"/>
        <v>自我与社会性</v>
      </c>
      <c r="B51" s="50" t="str">
        <f t="shared" si="25"/>
        <v>自我意识</v>
      </c>
      <c r="C51" s="51" t="str">
        <f t="shared" si="26"/>
        <v>知道自己和他人不同，接纳自我</v>
      </c>
      <c r="D51" s="1" t="s">
        <v>125</v>
      </c>
      <c r="E51" s="2" t="s">
        <v>126</v>
      </c>
      <c r="F51" s="10" t="s">
        <v>292</v>
      </c>
      <c r="G51" s="10">
        <v>1</v>
      </c>
      <c r="H51" s="11" t="str">
        <f t="shared" si="27"/>
        <v>回家后会说明同学的爱好</v>
      </c>
    </row>
    <row r="52" spans="1:8" ht="33" hidden="1" x14ac:dyDescent="0.2">
      <c r="A52" s="50" t="str">
        <f t="shared" si="24"/>
        <v>自我与社会性</v>
      </c>
      <c r="B52" s="50" t="str">
        <f t="shared" si="25"/>
        <v>自我意识</v>
      </c>
      <c r="C52" s="49" t="s">
        <v>127</v>
      </c>
      <c r="D52" s="1" t="s">
        <v>128</v>
      </c>
      <c r="E52" s="2" t="s">
        <v>129</v>
      </c>
      <c r="F52" s="10" t="s">
        <v>292</v>
      </c>
      <c r="G52" s="10">
        <v>1</v>
      </c>
      <c r="H52" s="11" t="s">
        <v>321</v>
      </c>
    </row>
    <row r="53" spans="1:8" ht="66" hidden="1" x14ac:dyDescent="0.2">
      <c r="A53" s="50" t="str">
        <f t="shared" si="24"/>
        <v>自我与社会性</v>
      </c>
      <c r="B53" s="50" t="str">
        <f t="shared" ref="B53:C55" si="28">B52</f>
        <v>自我意识</v>
      </c>
      <c r="C53" s="50" t="str">
        <f t="shared" si="28"/>
        <v>具有自尊、自信、自主的表现</v>
      </c>
      <c r="D53" s="1" t="s">
        <v>130</v>
      </c>
      <c r="E53" s="2" t="s">
        <v>131</v>
      </c>
      <c r="F53" s="10" t="s">
        <v>292</v>
      </c>
      <c r="G53" s="10">
        <v>1</v>
      </c>
      <c r="H53" s="11" t="s">
        <v>345</v>
      </c>
    </row>
    <row r="54" spans="1:8" ht="33" x14ac:dyDescent="0.2">
      <c r="A54" s="50" t="str">
        <f t="shared" si="24"/>
        <v>自我与社会性</v>
      </c>
      <c r="B54" s="50" t="str">
        <f t="shared" si="28"/>
        <v>自我意识</v>
      </c>
      <c r="C54" s="50" t="str">
        <f t="shared" si="28"/>
        <v>具有自尊、自信、自主的表现</v>
      </c>
      <c r="D54" s="21" t="s">
        <v>132</v>
      </c>
      <c r="E54" s="22" t="s">
        <v>133</v>
      </c>
      <c r="F54" s="17" t="s">
        <v>296</v>
      </c>
      <c r="G54" s="17">
        <v>0</v>
      </c>
      <c r="H54" s="18" t="s">
        <v>344</v>
      </c>
    </row>
    <row r="55" spans="1:8" ht="33" x14ac:dyDescent="0.2">
      <c r="A55" s="50" t="str">
        <f t="shared" si="24"/>
        <v>自我与社会性</v>
      </c>
      <c r="B55" s="51" t="str">
        <f t="shared" si="28"/>
        <v>自我意识</v>
      </c>
      <c r="C55" s="51" t="str">
        <f t="shared" si="28"/>
        <v>具有自尊、自信、自主的表现</v>
      </c>
      <c r="D55" s="21" t="s">
        <v>134</v>
      </c>
      <c r="E55" s="22" t="s">
        <v>135</v>
      </c>
      <c r="F55" s="17" t="s">
        <v>296</v>
      </c>
      <c r="G55" s="17">
        <v>0</v>
      </c>
      <c r="H55" s="18" t="s">
        <v>322</v>
      </c>
    </row>
    <row r="56" spans="1:8" ht="33" hidden="1" x14ac:dyDescent="0.2">
      <c r="A56" s="50" t="str">
        <f t="shared" si="24"/>
        <v>自我与社会性</v>
      </c>
      <c r="B56" s="43" t="s">
        <v>136</v>
      </c>
      <c r="C56" s="43" t="s">
        <v>137</v>
      </c>
      <c r="D56" s="1" t="s">
        <v>138</v>
      </c>
      <c r="E56" s="4" t="s">
        <v>139</v>
      </c>
      <c r="F56" s="10" t="s">
        <v>292</v>
      </c>
      <c r="G56" s="10">
        <v>1</v>
      </c>
      <c r="H56" s="11" t="str">
        <f t="shared" ref="H56:H58" si="29">H55</f>
        <v>对有难度的活动比较抗拒</v>
      </c>
    </row>
    <row r="57" spans="1:8" ht="33" hidden="1" x14ac:dyDescent="0.2">
      <c r="A57" s="50" t="str">
        <f t="shared" si="24"/>
        <v>自我与社会性</v>
      </c>
      <c r="B57" s="44" t="str">
        <f t="shared" ref="B57:B62" si="30">B56</f>
        <v>人际交往</v>
      </c>
      <c r="C57" s="44" t="str">
        <f t="shared" ref="C57:C61" si="31">C56</f>
        <v>愿意与人交往，能与同伴友好相处</v>
      </c>
      <c r="D57" s="3" t="s">
        <v>140</v>
      </c>
      <c r="E57" s="4" t="s">
        <v>141</v>
      </c>
      <c r="F57" s="10" t="s">
        <v>292</v>
      </c>
      <c r="G57" s="10">
        <v>1</v>
      </c>
      <c r="H57" s="11" t="str">
        <f t="shared" si="29"/>
        <v>对有难度的活动比较抗拒</v>
      </c>
    </row>
    <row r="58" spans="1:8" ht="33" hidden="1" x14ac:dyDescent="0.2">
      <c r="A58" s="50" t="str">
        <f t="shared" si="24"/>
        <v>自我与社会性</v>
      </c>
      <c r="B58" s="44" t="str">
        <f t="shared" si="30"/>
        <v>人际交往</v>
      </c>
      <c r="C58" s="44" t="str">
        <f t="shared" si="31"/>
        <v>愿意与人交往，能与同伴友好相处</v>
      </c>
      <c r="D58" s="3" t="s">
        <v>140</v>
      </c>
      <c r="E58" s="4" t="s">
        <v>142</v>
      </c>
      <c r="F58" s="10" t="s">
        <v>292</v>
      </c>
      <c r="G58" s="10">
        <v>1</v>
      </c>
      <c r="H58" s="11" t="str">
        <f t="shared" si="29"/>
        <v>对有难度的活动比较抗拒</v>
      </c>
    </row>
    <row r="59" spans="1:8" ht="33" hidden="1" x14ac:dyDescent="0.2">
      <c r="A59" s="50" t="str">
        <f t="shared" si="24"/>
        <v>自我与社会性</v>
      </c>
      <c r="B59" s="44" t="str">
        <f t="shared" si="30"/>
        <v>人际交往</v>
      </c>
      <c r="C59" s="44" t="str">
        <f t="shared" si="31"/>
        <v>愿意与人交往，能与同伴友好相处</v>
      </c>
      <c r="D59" s="1" t="s">
        <v>143</v>
      </c>
      <c r="E59" s="4" t="s">
        <v>144</v>
      </c>
      <c r="F59" s="10" t="s">
        <v>292</v>
      </c>
      <c r="G59" s="10">
        <v>1</v>
      </c>
      <c r="H59" s="11" t="s">
        <v>323</v>
      </c>
    </row>
    <row r="60" spans="1:8" ht="33" hidden="1" x14ac:dyDescent="0.2">
      <c r="A60" s="50" t="str">
        <f t="shared" si="24"/>
        <v>自我与社会性</v>
      </c>
      <c r="B60" s="44" t="str">
        <f t="shared" si="30"/>
        <v>人际交往</v>
      </c>
      <c r="C60" s="44" t="str">
        <f t="shared" si="31"/>
        <v>愿意与人交往，能与同伴友好相处</v>
      </c>
      <c r="D60" s="3" t="s">
        <v>145</v>
      </c>
      <c r="E60" s="4" t="s">
        <v>146</v>
      </c>
      <c r="F60" s="10" t="s">
        <v>292</v>
      </c>
      <c r="G60" s="10">
        <v>1</v>
      </c>
      <c r="H60" s="11" t="str">
        <f t="shared" ref="H60:H61" si="32">H59</f>
        <v>会主动进行自我介绍，询问是否可以加入游戏</v>
      </c>
    </row>
    <row r="61" spans="1:8" ht="33" x14ac:dyDescent="0.2">
      <c r="A61" s="50" t="str">
        <f t="shared" si="24"/>
        <v>自我与社会性</v>
      </c>
      <c r="B61" s="44" t="str">
        <f t="shared" si="30"/>
        <v>人际交往</v>
      </c>
      <c r="C61" s="45" t="str">
        <f t="shared" si="31"/>
        <v>愿意与人交往，能与同伴友好相处</v>
      </c>
      <c r="D61" s="23" t="s">
        <v>147</v>
      </c>
      <c r="E61" s="24" t="s">
        <v>148</v>
      </c>
      <c r="F61" s="25" t="s">
        <v>299</v>
      </c>
      <c r="G61" s="25">
        <v>0.5</v>
      </c>
      <c r="H61" s="26" t="str">
        <f t="shared" si="32"/>
        <v>会主动进行自我介绍，询问是否可以加入游戏</v>
      </c>
    </row>
    <row r="62" spans="1:8" ht="33" x14ac:dyDescent="0.2">
      <c r="A62" s="50" t="str">
        <f t="shared" si="24"/>
        <v>自我与社会性</v>
      </c>
      <c r="B62" s="44" t="str">
        <f t="shared" si="30"/>
        <v>人际交往</v>
      </c>
      <c r="C62" s="43" t="s">
        <v>149</v>
      </c>
      <c r="D62" s="28" t="s">
        <v>150</v>
      </c>
      <c r="E62" s="24" t="s">
        <v>151</v>
      </c>
      <c r="F62" s="25" t="s">
        <v>299</v>
      </c>
      <c r="G62" s="25">
        <v>0.5</v>
      </c>
      <c r="H62" s="26" t="s">
        <v>324</v>
      </c>
    </row>
    <row r="63" spans="1:8" ht="33" hidden="1" x14ac:dyDescent="0.2">
      <c r="A63" s="50" t="str">
        <f t="shared" si="24"/>
        <v>自我与社会性</v>
      </c>
      <c r="B63" s="44" t="str">
        <f t="shared" ref="B63:C65" si="33">B62</f>
        <v>人际交往</v>
      </c>
      <c r="C63" s="44" t="str">
        <f t="shared" si="33"/>
        <v>关心和尊重他人</v>
      </c>
      <c r="D63" s="3" t="s">
        <v>152</v>
      </c>
      <c r="E63" s="4" t="s">
        <v>153</v>
      </c>
      <c r="F63" s="10" t="s">
        <v>292</v>
      </c>
      <c r="G63" s="10">
        <v>1</v>
      </c>
      <c r="H63" s="11" t="str">
        <f t="shared" ref="H63:H66" si="34">H62</f>
        <v>需要提醒</v>
      </c>
    </row>
    <row r="64" spans="1:8" ht="33" hidden="1" x14ac:dyDescent="0.2">
      <c r="A64" s="50" t="str">
        <f t="shared" si="24"/>
        <v>自我与社会性</v>
      </c>
      <c r="B64" s="44" t="str">
        <f t="shared" si="33"/>
        <v>人际交往</v>
      </c>
      <c r="C64" s="44" t="str">
        <f t="shared" si="33"/>
        <v>关心和尊重他人</v>
      </c>
      <c r="D64" s="3" t="s">
        <v>154</v>
      </c>
      <c r="E64" s="4" t="s">
        <v>155</v>
      </c>
      <c r="F64" s="10" t="s">
        <v>292</v>
      </c>
      <c r="G64" s="10">
        <v>1</v>
      </c>
      <c r="H64" s="11" t="str">
        <f t="shared" si="34"/>
        <v>需要提醒</v>
      </c>
    </row>
    <row r="65" spans="1:8" ht="33" hidden="1" x14ac:dyDescent="0.2">
      <c r="A65" s="50" t="str">
        <f t="shared" si="24"/>
        <v>自我与社会性</v>
      </c>
      <c r="B65" s="45" t="str">
        <f t="shared" si="33"/>
        <v>人际交往</v>
      </c>
      <c r="C65" s="45" t="str">
        <f t="shared" si="33"/>
        <v>关心和尊重他人</v>
      </c>
      <c r="D65" s="3" t="s">
        <v>156</v>
      </c>
      <c r="E65" s="4" t="s">
        <v>157</v>
      </c>
      <c r="F65" s="10" t="s">
        <v>292</v>
      </c>
      <c r="G65" s="10">
        <v>1</v>
      </c>
      <c r="H65" s="11" t="str">
        <f t="shared" si="34"/>
        <v>需要提醒</v>
      </c>
    </row>
    <row r="66" spans="1:8" ht="33" hidden="1" x14ac:dyDescent="0.2">
      <c r="A66" s="50" t="str">
        <f t="shared" si="24"/>
        <v>自我与社会性</v>
      </c>
      <c r="B66" s="43" t="s">
        <v>158</v>
      </c>
      <c r="C66" s="43" t="s">
        <v>159</v>
      </c>
      <c r="D66" s="3" t="s">
        <v>160</v>
      </c>
      <c r="E66" s="4" t="s">
        <v>161</v>
      </c>
      <c r="F66" s="10" t="s">
        <v>292</v>
      </c>
      <c r="G66" s="10">
        <v>1</v>
      </c>
      <c r="H66" s="11" t="str">
        <f t="shared" si="34"/>
        <v>需要提醒</v>
      </c>
    </row>
    <row r="67" spans="1:8" ht="33" hidden="1" x14ac:dyDescent="0.2">
      <c r="A67" s="50" t="str">
        <f t="shared" ref="A67:C68" si="35">A66</f>
        <v>自我与社会性</v>
      </c>
      <c r="B67" s="44" t="str">
        <f t="shared" si="35"/>
        <v>社会适应</v>
      </c>
      <c r="C67" s="44" t="str">
        <f t="shared" si="35"/>
        <v>喜欢并适应群体生活</v>
      </c>
      <c r="D67" s="1" t="s">
        <v>162</v>
      </c>
      <c r="E67" s="4" t="s">
        <v>163</v>
      </c>
      <c r="F67" s="10" t="s">
        <v>292</v>
      </c>
      <c r="G67" s="10">
        <v>1</v>
      </c>
      <c r="H67" s="11" t="s">
        <v>325</v>
      </c>
    </row>
    <row r="68" spans="1:8" ht="33" hidden="1" x14ac:dyDescent="0.2">
      <c r="A68" s="50" t="str">
        <f t="shared" si="35"/>
        <v>自我与社会性</v>
      </c>
      <c r="B68" s="44" t="str">
        <f t="shared" si="35"/>
        <v>社会适应</v>
      </c>
      <c r="C68" s="45" t="str">
        <f t="shared" si="35"/>
        <v>喜欢并适应群体生活</v>
      </c>
      <c r="D68" s="3" t="s">
        <v>164</v>
      </c>
      <c r="E68" s="4" t="s">
        <v>165</v>
      </c>
      <c r="F68" s="10" t="s">
        <v>292</v>
      </c>
      <c r="G68" s="10">
        <v>1</v>
      </c>
      <c r="H68" s="11" t="s">
        <v>326</v>
      </c>
    </row>
    <row r="69" spans="1:8" ht="33" hidden="1" x14ac:dyDescent="0.2">
      <c r="A69" s="50" t="str">
        <f t="shared" ref="A69:B69" si="36">A68</f>
        <v>自我与社会性</v>
      </c>
      <c r="B69" s="44" t="str">
        <f t="shared" si="36"/>
        <v>社会适应</v>
      </c>
      <c r="C69" s="43" t="s">
        <v>166</v>
      </c>
      <c r="D69" s="3" t="s">
        <v>167</v>
      </c>
      <c r="E69" s="4" t="s">
        <v>168</v>
      </c>
      <c r="F69" s="10" t="s">
        <v>292</v>
      </c>
      <c r="G69" s="10">
        <v>1</v>
      </c>
      <c r="H69" s="11" t="s">
        <v>327</v>
      </c>
    </row>
    <row r="70" spans="1:8" ht="33" hidden="1" x14ac:dyDescent="0.2">
      <c r="A70" s="50" t="str">
        <f t="shared" ref="A70:C71" si="37">A69</f>
        <v>自我与社会性</v>
      </c>
      <c r="B70" s="44" t="str">
        <f t="shared" si="37"/>
        <v>社会适应</v>
      </c>
      <c r="C70" s="44" t="str">
        <f t="shared" si="37"/>
        <v>具有初步的归属感</v>
      </c>
      <c r="D70" s="3" t="s">
        <v>169</v>
      </c>
      <c r="E70" s="4" t="s">
        <v>170</v>
      </c>
      <c r="F70" s="10" t="s">
        <v>292</v>
      </c>
      <c r="G70" s="10">
        <v>1</v>
      </c>
      <c r="H70" s="11" t="str">
        <f t="shared" ref="H70:H72" si="38">H69</f>
        <v>现在不会说不愿意去幼儿园</v>
      </c>
    </row>
    <row r="71" spans="1:8" ht="33" hidden="1" x14ac:dyDescent="0.2">
      <c r="A71" s="50" t="str">
        <f t="shared" si="37"/>
        <v>自我与社会性</v>
      </c>
      <c r="B71" s="44" t="str">
        <f t="shared" si="37"/>
        <v>社会适应</v>
      </c>
      <c r="C71" s="45" t="str">
        <f t="shared" si="37"/>
        <v>具有初步的归属感</v>
      </c>
      <c r="D71" s="3" t="s">
        <v>171</v>
      </c>
      <c r="E71" s="4" t="s">
        <v>172</v>
      </c>
      <c r="F71" s="10" t="s">
        <v>292</v>
      </c>
      <c r="G71" s="10">
        <v>1</v>
      </c>
      <c r="H71" s="11" t="str">
        <f t="shared" si="38"/>
        <v>现在不会说不愿意去幼儿园</v>
      </c>
    </row>
    <row r="72" spans="1:8" ht="33" hidden="1" x14ac:dyDescent="0.2">
      <c r="A72" s="50" t="str">
        <f t="shared" ref="A72:B72" si="39">A71</f>
        <v>自我与社会性</v>
      </c>
      <c r="B72" s="44" t="str">
        <f t="shared" si="39"/>
        <v>社会适应</v>
      </c>
      <c r="C72" s="43" t="s">
        <v>173</v>
      </c>
      <c r="D72" s="1" t="s">
        <v>174</v>
      </c>
      <c r="E72" s="4" t="s">
        <v>175</v>
      </c>
      <c r="F72" s="10" t="s">
        <v>292</v>
      </c>
      <c r="G72" s="10">
        <v>1</v>
      </c>
      <c r="H72" s="11" t="str">
        <f t="shared" si="38"/>
        <v>现在不会说不愿意去幼儿园</v>
      </c>
    </row>
    <row r="73" spans="1:8" ht="33" hidden="1" x14ac:dyDescent="0.2">
      <c r="A73" s="51" t="str">
        <f t="shared" ref="A73:C73" si="40">A72</f>
        <v>自我与社会性</v>
      </c>
      <c r="B73" s="45" t="str">
        <f t="shared" si="40"/>
        <v>社会适应</v>
      </c>
      <c r="C73" s="45" t="str">
        <f t="shared" si="40"/>
        <v>感受和体验多元文化</v>
      </c>
      <c r="D73" s="3" t="s">
        <v>176</v>
      </c>
      <c r="E73" s="4" t="s">
        <v>177</v>
      </c>
      <c r="F73" s="10" t="s">
        <v>328</v>
      </c>
      <c r="G73" s="10" t="s">
        <v>328</v>
      </c>
      <c r="H73" s="11" t="s">
        <v>329</v>
      </c>
    </row>
    <row r="74" spans="1:8" ht="33" hidden="1" x14ac:dyDescent="0.2">
      <c r="A74" s="43" t="s">
        <v>178</v>
      </c>
      <c r="B74" s="43" t="s">
        <v>179</v>
      </c>
      <c r="C74" s="43" t="s">
        <v>180</v>
      </c>
      <c r="D74" s="3" t="s">
        <v>181</v>
      </c>
      <c r="E74" s="4" t="s">
        <v>182</v>
      </c>
      <c r="F74" s="10" t="s">
        <v>292</v>
      </c>
      <c r="G74" s="10">
        <v>1</v>
      </c>
      <c r="H74" s="11" t="str">
        <f t="shared" ref="H74:H76" si="41">H73</f>
        <v>好久未出苏州市</v>
      </c>
    </row>
    <row r="75" spans="1:8" ht="33" hidden="1" x14ac:dyDescent="0.2">
      <c r="A75" s="44" t="str">
        <f t="shared" ref="A75:A80" si="42">A74</f>
        <v>语言与交流</v>
      </c>
      <c r="B75" s="44" t="str">
        <f t="shared" ref="B75:B76" si="43">B74</f>
        <v>理解与表达</v>
      </c>
      <c r="C75" s="45" t="str">
        <f>C74</f>
        <v>能听懂常用语言</v>
      </c>
      <c r="D75" s="3" t="s">
        <v>183</v>
      </c>
      <c r="E75" s="4" t="s">
        <v>184</v>
      </c>
      <c r="F75" s="10" t="s">
        <v>292</v>
      </c>
      <c r="G75" s="10">
        <v>1</v>
      </c>
      <c r="H75" s="11" t="str">
        <f t="shared" si="41"/>
        <v>好久未出苏州市</v>
      </c>
    </row>
    <row r="76" spans="1:8" ht="33" hidden="1" x14ac:dyDescent="0.2">
      <c r="A76" s="44" t="str">
        <f t="shared" si="42"/>
        <v>语言与交流</v>
      </c>
      <c r="B76" s="44" t="str">
        <f t="shared" si="43"/>
        <v>理解与表达</v>
      </c>
      <c r="C76" s="43" t="s">
        <v>185</v>
      </c>
      <c r="D76" s="3" t="s">
        <v>186</v>
      </c>
      <c r="E76" s="4" t="s">
        <v>187</v>
      </c>
      <c r="F76" s="10" t="s">
        <v>292</v>
      </c>
      <c r="G76" s="10">
        <v>1</v>
      </c>
      <c r="H76" s="11" t="str">
        <f t="shared" si="41"/>
        <v>好久未出苏州市</v>
      </c>
    </row>
    <row r="77" spans="1:8" ht="33" hidden="1" x14ac:dyDescent="0.2">
      <c r="A77" s="44" t="str">
        <f t="shared" si="42"/>
        <v>语言与交流</v>
      </c>
      <c r="B77" s="44" t="str">
        <f t="shared" ref="B77:C79" si="44">B76</f>
        <v>理解与表达</v>
      </c>
      <c r="C77" s="44" t="str">
        <f t="shared" si="44"/>
        <v>愿意用语言进行交流并能清楚地表达</v>
      </c>
      <c r="D77" s="3" t="s">
        <v>188</v>
      </c>
      <c r="E77" s="4" t="s">
        <v>189</v>
      </c>
      <c r="F77" s="10" t="s">
        <v>292</v>
      </c>
      <c r="G77" s="10">
        <v>1</v>
      </c>
      <c r="H77" s="11" t="s">
        <v>330</v>
      </c>
    </row>
    <row r="78" spans="1:8" ht="33" x14ac:dyDescent="0.2">
      <c r="A78" s="44" t="str">
        <f t="shared" si="42"/>
        <v>语言与交流</v>
      </c>
      <c r="B78" s="44" t="str">
        <f t="shared" si="44"/>
        <v>理解与表达</v>
      </c>
      <c r="C78" s="44" t="str">
        <f t="shared" si="44"/>
        <v>愿意用语言进行交流并能清楚地表达</v>
      </c>
      <c r="D78" s="23" t="s">
        <v>190</v>
      </c>
      <c r="E78" s="24" t="s">
        <v>191</v>
      </c>
      <c r="F78" s="25" t="s">
        <v>299</v>
      </c>
      <c r="G78" s="25">
        <v>0.5</v>
      </c>
      <c r="H78" s="26" t="s">
        <v>331</v>
      </c>
    </row>
    <row r="79" spans="1:8" ht="33" x14ac:dyDescent="0.2">
      <c r="A79" s="44" t="str">
        <f t="shared" si="42"/>
        <v>语言与交流</v>
      </c>
      <c r="B79" s="45" t="str">
        <f t="shared" si="44"/>
        <v>理解与表达</v>
      </c>
      <c r="C79" s="45" t="str">
        <f t="shared" si="44"/>
        <v>愿意用语言进行交流并能清楚地表达</v>
      </c>
      <c r="D79" s="23" t="s">
        <v>192</v>
      </c>
      <c r="E79" s="24" t="s">
        <v>193</v>
      </c>
      <c r="F79" s="25" t="s">
        <v>299</v>
      </c>
      <c r="G79" s="25">
        <v>0.5</v>
      </c>
      <c r="H79" s="26" t="s">
        <v>332</v>
      </c>
    </row>
    <row r="80" spans="1:8" ht="33" hidden="1" x14ac:dyDescent="0.2">
      <c r="A80" s="44" t="str">
        <f t="shared" si="42"/>
        <v>语言与交流</v>
      </c>
      <c r="B80" s="43" t="s">
        <v>194</v>
      </c>
      <c r="C80" s="43" t="s">
        <v>195</v>
      </c>
      <c r="D80" s="3" t="s">
        <v>196</v>
      </c>
      <c r="E80" s="4" t="s">
        <v>197</v>
      </c>
      <c r="F80" s="10" t="s">
        <v>292</v>
      </c>
      <c r="G80" s="10">
        <v>1</v>
      </c>
      <c r="H80" s="11" t="str">
        <f t="shared" ref="H80:H88" si="45">H79</f>
        <v>超过2句就有些磕磕巴巴，意思偏离</v>
      </c>
    </row>
    <row r="81" spans="1:8" ht="33" hidden="1" x14ac:dyDescent="0.2">
      <c r="A81" s="44" t="str">
        <f t="shared" ref="A81:C82" si="46">A80</f>
        <v>语言与交流</v>
      </c>
      <c r="B81" s="44" t="str">
        <f t="shared" si="46"/>
        <v>前阅读与前书写</v>
      </c>
      <c r="C81" s="44" t="str">
        <f t="shared" si="46"/>
        <v>喜欢听故事，看图书</v>
      </c>
      <c r="D81" s="3" t="s">
        <v>198</v>
      </c>
      <c r="E81" s="4" t="s">
        <v>199</v>
      </c>
      <c r="F81" s="10" t="s">
        <v>292</v>
      </c>
      <c r="G81" s="10">
        <v>1</v>
      </c>
      <c r="H81" s="11" t="str">
        <f t="shared" si="45"/>
        <v>超过2句就有些磕磕巴巴，意思偏离</v>
      </c>
    </row>
    <row r="82" spans="1:8" ht="33" hidden="1" x14ac:dyDescent="0.2">
      <c r="A82" s="44" t="str">
        <f t="shared" si="46"/>
        <v>语言与交流</v>
      </c>
      <c r="B82" s="44" t="str">
        <f t="shared" si="46"/>
        <v>前阅读与前书写</v>
      </c>
      <c r="C82" s="45" t="str">
        <f t="shared" si="46"/>
        <v>喜欢听故事，看图书</v>
      </c>
      <c r="D82" s="3" t="s">
        <v>200</v>
      </c>
      <c r="E82" s="2" t="s">
        <v>201</v>
      </c>
      <c r="F82" s="10" t="s">
        <v>292</v>
      </c>
      <c r="G82" s="10">
        <v>1</v>
      </c>
      <c r="H82" s="11" t="str">
        <f t="shared" si="45"/>
        <v>超过2句就有些磕磕巴巴，意思偏离</v>
      </c>
    </row>
    <row r="83" spans="1:8" ht="33" hidden="1" x14ac:dyDescent="0.2">
      <c r="A83" s="44" t="str">
        <f t="shared" ref="A83:B83" si="47">A82</f>
        <v>语言与交流</v>
      </c>
      <c r="B83" s="44" t="str">
        <f t="shared" si="47"/>
        <v>前阅读与前书写</v>
      </c>
      <c r="C83" s="49" t="s">
        <v>202</v>
      </c>
      <c r="D83" s="1" t="s">
        <v>203</v>
      </c>
      <c r="E83" s="2" t="s">
        <v>204</v>
      </c>
      <c r="F83" s="10" t="s">
        <v>292</v>
      </c>
      <c r="G83" s="10">
        <v>1</v>
      </c>
      <c r="H83" s="11" t="str">
        <f t="shared" si="45"/>
        <v>超过2句就有些磕磕巴巴，意思偏离</v>
      </c>
    </row>
    <row r="84" spans="1:8" ht="33" hidden="1" x14ac:dyDescent="0.2">
      <c r="A84" s="44" t="str">
        <f t="shared" ref="A84:C85" si="48">A83</f>
        <v>语言与交流</v>
      </c>
      <c r="B84" s="44" t="str">
        <f t="shared" si="48"/>
        <v>前阅读与前书写</v>
      </c>
      <c r="C84" s="50" t="str">
        <f t="shared" si="48"/>
        <v>具有初步的阅读理解能力</v>
      </c>
      <c r="D84" s="3" t="s">
        <v>205</v>
      </c>
      <c r="E84" s="2" t="s">
        <v>206</v>
      </c>
      <c r="F84" s="10" t="s">
        <v>292</v>
      </c>
      <c r="G84" s="10">
        <v>1</v>
      </c>
      <c r="H84" s="11" t="str">
        <f t="shared" si="45"/>
        <v>超过2句就有些磕磕巴巴，意思偏离</v>
      </c>
    </row>
    <row r="85" spans="1:8" ht="33" hidden="1" x14ac:dyDescent="0.2">
      <c r="A85" s="44" t="str">
        <f t="shared" si="48"/>
        <v>语言与交流</v>
      </c>
      <c r="B85" s="44" t="str">
        <f t="shared" si="48"/>
        <v>前阅读与前书写</v>
      </c>
      <c r="C85" s="51" t="str">
        <f t="shared" si="48"/>
        <v>具有初步的阅读理解能力</v>
      </c>
      <c r="D85" s="3" t="s">
        <v>207</v>
      </c>
      <c r="E85" s="2" t="s">
        <v>208</v>
      </c>
      <c r="F85" s="10" t="s">
        <v>292</v>
      </c>
      <c r="G85" s="10">
        <v>1</v>
      </c>
      <c r="H85" s="11" t="str">
        <f t="shared" si="45"/>
        <v>超过2句就有些磕磕巴巴，意思偏离</v>
      </c>
    </row>
    <row r="86" spans="1:8" ht="33" hidden="1" x14ac:dyDescent="0.2">
      <c r="A86" s="44" t="str">
        <f t="shared" ref="A86:B86" si="49">A85</f>
        <v>语言与交流</v>
      </c>
      <c r="B86" s="44" t="str">
        <f t="shared" si="49"/>
        <v>前阅读与前书写</v>
      </c>
      <c r="C86" s="49" t="s">
        <v>209</v>
      </c>
      <c r="D86" s="3" t="s">
        <v>210</v>
      </c>
      <c r="E86" s="2" t="s">
        <v>211</v>
      </c>
      <c r="F86" s="10" t="s">
        <v>292</v>
      </c>
      <c r="G86" s="10">
        <v>1</v>
      </c>
      <c r="H86" s="11" t="str">
        <f t="shared" si="45"/>
        <v>超过2句就有些磕磕巴巴，意思偏离</v>
      </c>
    </row>
    <row r="87" spans="1:8" ht="33" hidden="1" x14ac:dyDescent="0.2">
      <c r="A87" s="44" t="str">
        <f t="shared" ref="A87:C88" si="50">A86</f>
        <v>语言与交流</v>
      </c>
      <c r="B87" s="44" t="str">
        <f t="shared" si="50"/>
        <v>前阅读与前书写</v>
      </c>
      <c r="C87" s="50" t="str">
        <f t="shared" si="50"/>
        <v>具有书面表达的愿望和初步技能</v>
      </c>
      <c r="D87" s="1" t="s">
        <v>212</v>
      </c>
      <c r="E87" s="2" t="s">
        <v>213</v>
      </c>
      <c r="F87" s="10" t="s">
        <v>292</v>
      </c>
      <c r="G87" s="10">
        <v>1</v>
      </c>
      <c r="H87" s="11" t="str">
        <f t="shared" si="45"/>
        <v>超过2句就有些磕磕巴巴，意思偏离</v>
      </c>
    </row>
    <row r="88" spans="1:8" ht="33" hidden="1" x14ac:dyDescent="0.2">
      <c r="A88" s="45" t="str">
        <f t="shared" si="50"/>
        <v>语言与交流</v>
      </c>
      <c r="B88" s="45" t="str">
        <f t="shared" si="50"/>
        <v>前阅读与前书写</v>
      </c>
      <c r="C88" s="51" t="str">
        <f t="shared" si="50"/>
        <v>具有书面表达的愿望和初步技能</v>
      </c>
      <c r="D88" s="1" t="s">
        <v>214</v>
      </c>
      <c r="E88" s="2" t="s">
        <v>215</v>
      </c>
      <c r="F88" s="10" t="s">
        <v>292</v>
      </c>
      <c r="G88" s="10">
        <v>1</v>
      </c>
      <c r="H88" s="11" t="str">
        <f t="shared" si="45"/>
        <v>超过2句就有些磕磕巴巴，意思偏离</v>
      </c>
    </row>
    <row r="89" spans="1:8" ht="33" x14ac:dyDescent="0.2">
      <c r="A89" s="49" t="s">
        <v>216</v>
      </c>
      <c r="B89" s="49" t="s">
        <v>217</v>
      </c>
      <c r="C89" s="1" t="s">
        <v>218</v>
      </c>
      <c r="D89" s="28" t="s">
        <v>219</v>
      </c>
      <c r="E89" s="27" t="s">
        <v>220</v>
      </c>
      <c r="F89" s="25" t="s">
        <v>299</v>
      </c>
      <c r="G89" s="25">
        <v>0.5</v>
      </c>
      <c r="H89" s="26" t="s">
        <v>333</v>
      </c>
    </row>
    <row r="90" spans="1:8" ht="33" hidden="1" x14ac:dyDescent="0.2">
      <c r="A90" s="50" t="str">
        <f t="shared" ref="A90:A99" si="51">A89</f>
        <v>探究与认知</v>
      </c>
      <c r="B90" s="50" t="str">
        <f t="shared" ref="B90:B94" si="52">B89</f>
        <v>科学探究</v>
      </c>
      <c r="C90" s="49" t="s">
        <v>221</v>
      </c>
      <c r="D90" s="1" t="s">
        <v>222</v>
      </c>
      <c r="E90" s="2" t="s">
        <v>223</v>
      </c>
      <c r="F90" s="10" t="s">
        <v>292</v>
      </c>
      <c r="G90" s="10">
        <v>1</v>
      </c>
      <c r="H90" s="11" t="str">
        <f>H89</f>
        <v>喜欢让爸爸动手做小实验</v>
      </c>
    </row>
    <row r="91" spans="1:8" ht="49.5" hidden="1" x14ac:dyDescent="0.2">
      <c r="A91" s="50" t="str">
        <f t="shared" si="51"/>
        <v>探究与认知</v>
      </c>
      <c r="B91" s="50" t="str">
        <f t="shared" si="52"/>
        <v>科学探究</v>
      </c>
      <c r="C91" s="50" t="str">
        <f t="shared" ref="C91:C93" si="53">C90</f>
        <v>用一定的方法探究周围感兴趣的事物与现象</v>
      </c>
      <c r="D91" s="1" t="s">
        <v>224</v>
      </c>
      <c r="E91" s="2" t="s">
        <v>225</v>
      </c>
      <c r="F91" s="10" t="s">
        <v>292</v>
      </c>
      <c r="G91" s="10">
        <v>1</v>
      </c>
      <c r="H91" s="11" t="s">
        <v>335</v>
      </c>
    </row>
    <row r="92" spans="1:8" ht="33" x14ac:dyDescent="0.2">
      <c r="A92" s="50" t="str">
        <f t="shared" si="51"/>
        <v>探究与认知</v>
      </c>
      <c r="B92" s="50" t="str">
        <f t="shared" si="52"/>
        <v>科学探究</v>
      </c>
      <c r="C92" s="50" t="str">
        <f t="shared" si="53"/>
        <v>用一定的方法探究周围感兴趣的事物与现象</v>
      </c>
      <c r="D92" s="28" t="s">
        <v>226</v>
      </c>
      <c r="E92" s="27" t="s">
        <v>227</v>
      </c>
      <c r="F92" s="25" t="s">
        <v>299</v>
      </c>
      <c r="G92" s="25">
        <v>0.5</v>
      </c>
      <c r="H92" s="26" t="s">
        <v>334</v>
      </c>
    </row>
    <row r="93" spans="1:8" ht="33" x14ac:dyDescent="0.2">
      <c r="A93" s="50" t="str">
        <f t="shared" si="51"/>
        <v>探究与认知</v>
      </c>
      <c r="B93" s="50" t="str">
        <f t="shared" si="52"/>
        <v>科学探究</v>
      </c>
      <c r="C93" s="51" t="str">
        <f t="shared" si="53"/>
        <v>用一定的方法探究周围感兴趣的事物与现象</v>
      </c>
      <c r="D93" s="28" t="s">
        <v>228</v>
      </c>
      <c r="E93" s="27" t="s">
        <v>229</v>
      </c>
      <c r="F93" s="25" t="s">
        <v>299</v>
      </c>
      <c r="G93" s="25">
        <v>0.5</v>
      </c>
      <c r="H93" s="26" t="str">
        <f t="shared" ref="H93:H99" si="54">H92</f>
        <v>缺乏评价场景</v>
      </c>
    </row>
    <row r="94" spans="1:8" ht="16.5" hidden="1" x14ac:dyDescent="0.2">
      <c r="A94" s="50" t="str">
        <f t="shared" si="51"/>
        <v>探究与认知</v>
      </c>
      <c r="B94" s="50" t="str">
        <f t="shared" si="52"/>
        <v>科学探究</v>
      </c>
      <c r="C94" s="49" t="s">
        <v>230</v>
      </c>
      <c r="D94" s="1" t="s">
        <v>231</v>
      </c>
      <c r="E94" s="2" t="s">
        <v>232</v>
      </c>
      <c r="F94" s="10" t="s">
        <v>292</v>
      </c>
      <c r="G94" s="10">
        <v>1</v>
      </c>
      <c r="H94" s="11" t="str">
        <f t="shared" si="54"/>
        <v>缺乏评价场景</v>
      </c>
    </row>
    <row r="95" spans="1:8" ht="33" hidden="1" x14ac:dyDescent="0.2">
      <c r="A95" s="50" t="str">
        <f t="shared" si="51"/>
        <v>探究与认知</v>
      </c>
      <c r="B95" s="50" t="str">
        <f t="shared" ref="B95:C98" si="55">B94</f>
        <v>科学探究</v>
      </c>
      <c r="C95" s="50" t="str">
        <f t="shared" si="55"/>
        <v>在探究中认识事物与现象</v>
      </c>
      <c r="D95" s="1" t="s">
        <v>233</v>
      </c>
      <c r="E95" s="2" t="s">
        <v>287</v>
      </c>
      <c r="F95" s="10" t="s">
        <v>292</v>
      </c>
      <c r="G95" s="10">
        <v>1</v>
      </c>
      <c r="H95" s="11" t="str">
        <f t="shared" si="54"/>
        <v>缺乏评价场景</v>
      </c>
    </row>
    <row r="96" spans="1:8" ht="33" hidden="1" x14ac:dyDescent="0.2">
      <c r="A96" s="50" t="str">
        <f t="shared" si="51"/>
        <v>探究与认知</v>
      </c>
      <c r="B96" s="50" t="str">
        <f t="shared" si="55"/>
        <v>科学探究</v>
      </c>
      <c r="C96" s="50" t="str">
        <f t="shared" si="55"/>
        <v>在探究中认识事物与现象</v>
      </c>
      <c r="D96" s="1" t="s">
        <v>234</v>
      </c>
      <c r="E96" s="2" t="s">
        <v>235</v>
      </c>
      <c r="F96" s="10" t="s">
        <v>292</v>
      </c>
      <c r="G96" s="10">
        <v>1</v>
      </c>
      <c r="H96" s="11" t="str">
        <f t="shared" si="54"/>
        <v>缺乏评价场景</v>
      </c>
    </row>
    <row r="97" spans="1:8" ht="16.5" hidden="1" x14ac:dyDescent="0.2">
      <c r="A97" s="50" t="str">
        <f t="shared" si="51"/>
        <v>探究与认知</v>
      </c>
      <c r="B97" s="50" t="str">
        <f t="shared" si="55"/>
        <v>科学探究</v>
      </c>
      <c r="C97" s="50" t="str">
        <f t="shared" si="55"/>
        <v>在探究中认识事物与现象</v>
      </c>
      <c r="D97" s="1" t="s">
        <v>236</v>
      </c>
      <c r="E97" s="2" t="s">
        <v>237</v>
      </c>
      <c r="F97" s="10" t="s">
        <v>292</v>
      </c>
      <c r="G97" s="10">
        <v>1</v>
      </c>
      <c r="H97" s="11" t="str">
        <f t="shared" si="54"/>
        <v>缺乏评价场景</v>
      </c>
    </row>
    <row r="98" spans="1:8" ht="16.5" hidden="1" x14ac:dyDescent="0.2">
      <c r="A98" s="50" t="str">
        <f t="shared" si="51"/>
        <v>探究与认知</v>
      </c>
      <c r="B98" s="51" t="str">
        <f t="shared" si="55"/>
        <v>科学探究</v>
      </c>
      <c r="C98" s="51" t="str">
        <f t="shared" si="55"/>
        <v>在探究中认识事物与现象</v>
      </c>
      <c r="D98" s="1" t="s">
        <v>238</v>
      </c>
      <c r="E98" s="2" t="s">
        <v>239</v>
      </c>
      <c r="F98" s="10" t="s">
        <v>292</v>
      </c>
      <c r="G98" s="10">
        <v>1</v>
      </c>
      <c r="H98" s="11" t="str">
        <f t="shared" si="54"/>
        <v>缺乏评价场景</v>
      </c>
    </row>
    <row r="99" spans="1:8" ht="33" hidden="1" x14ac:dyDescent="0.2">
      <c r="A99" s="50" t="str">
        <f t="shared" si="51"/>
        <v>探究与认知</v>
      </c>
      <c r="B99" s="49" t="s">
        <v>240</v>
      </c>
      <c r="C99" s="49" t="s">
        <v>241</v>
      </c>
      <c r="D99" s="1" t="s">
        <v>242</v>
      </c>
      <c r="E99" s="2" t="s">
        <v>288</v>
      </c>
      <c r="F99" s="10" t="s">
        <v>292</v>
      </c>
      <c r="G99" s="10">
        <v>1</v>
      </c>
      <c r="H99" s="11" t="str">
        <f t="shared" si="54"/>
        <v>缺乏评价场景</v>
      </c>
    </row>
    <row r="100" spans="1:8" ht="33" hidden="1" x14ac:dyDescent="0.2">
      <c r="A100" s="50" t="str">
        <f t="shared" ref="A100:C101" si="56">A99</f>
        <v>探究与认知</v>
      </c>
      <c r="B100" s="50" t="str">
        <f t="shared" si="56"/>
        <v>数学认知</v>
      </c>
      <c r="C100" s="50" t="str">
        <f t="shared" si="56"/>
        <v>初步感知生活中数学的有用和有趣</v>
      </c>
      <c r="D100" s="1" t="s">
        <v>243</v>
      </c>
      <c r="E100" s="2" t="s">
        <v>244</v>
      </c>
      <c r="F100" s="29" t="s">
        <v>292</v>
      </c>
      <c r="G100" s="29">
        <v>1</v>
      </c>
      <c r="H100" s="30" t="s">
        <v>347</v>
      </c>
    </row>
    <row r="101" spans="1:8" ht="33" hidden="1" x14ac:dyDescent="0.2">
      <c r="A101" s="50" t="str">
        <f t="shared" si="56"/>
        <v>探究与认知</v>
      </c>
      <c r="B101" s="50" t="str">
        <f t="shared" si="56"/>
        <v>数学认知</v>
      </c>
      <c r="C101" s="51" t="str">
        <f t="shared" si="56"/>
        <v>初步感知生活中数学的有用和有趣</v>
      </c>
      <c r="D101" s="1" t="s">
        <v>245</v>
      </c>
      <c r="E101" s="2" t="s">
        <v>246</v>
      </c>
      <c r="F101" s="10" t="s">
        <v>292</v>
      </c>
      <c r="G101" s="10">
        <v>1</v>
      </c>
      <c r="H101" s="11" t="str">
        <f>H100</f>
        <v>会用手指数数，3个以内马上说出</v>
      </c>
    </row>
    <row r="102" spans="1:8" ht="33" hidden="1" x14ac:dyDescent="0.2">
      <c r="A102" s="50" t="str">
        <f t="shared" ref="A102:B102" si="57">A101</f>
        <v>探究与认知</v>
      </c>
      <c r="B102" s="50" t="str">
        <f t="shared" si="57"/>
        <v>数学认知</v>
      </c>
      <c r="C102" s="43" t="s">
        <v>247</v>
      </c>
      <c r="D102" s="3" t="s">
        <v>248</v>
      </c>
      <c r="E102" s="2" t="s">
        <v>249</v>
      </c>
      <c r="F102" s="10" t="s">
        <v>292</v>
      </c>
      <c r="G102" s="10">
        <v>1</v>
      </c>
      <c r="H102" s="11" t="s">
        <v>336</v>
      </c>
    </row>
    <row r="103" spans="1:8" ht="16.5" hidden="1" x14ac:dyDescent="0.2">
      <c r="A103" s="50" t="str">
        <f t="shared" ref="A103:C105" si="58">A102</f>
        <v>探究与认知</v>
      </c>
      <c r="B103" s="50" t="str">
        <f t="shared" si="58"/>
        <v>数学认知</v>
      </c>
      <c r="C103" s="44" t="str">
        <f t="shared" si="58"/>
        <v>感知数、量及数量关系</v>
      </c>
      <c r="D103" s="1" t="s">
        <v>250</v>
      </c>
      <c r="E103" s="4" t="s">
        <v>289</v>
      </c>
      <c r="F103" s="10" t="s">
        <v>292</v>
      </c>
      <c r="G103" s="10">
        <v>1</v>
      </c>
      <c r="H103" s="11" t="s">
        <v>337</v>
      </c>
    </row>
    <row r="104" spans="1:8" ht="33" hidden="1" x14ac:dyDescent="0.2">
      <c r="A104" s="50" t="str">
        <f t="shared" si="58"/>
        <v>探究与认知</v>
      </c>
      <c r="B104" s="50" t="str">
        <f t="shared" si="58"/>
        <v>数学认知</v>
      </c>
      <c r="C104" s="44" t="str">
        <f t="shared" si="58"/>
        <v>感知数、量及数量关系</v>
      </c>
      <c r="D104" s="3" t="s">
        <v>251</v>
      </c>
      <c r="E104" s="2" t="s">
        <v>252</v>
      </c>
      <c r="F104" s="10" t="s">
        <v>292</v>
      </c>
      <c r="G104" s="10">
        <v>1</v>
      </c>
      <c r="H104" s="11" t="str">
        <f>H103</f>
        <v>做对过20以内加法</v>
      </c>
    </row>
    <row r="105" spans="1:8" ht="16.5" hidden="1" x14ac:dyDescent="0.2">
      <c r="A105" s="50" t="str">
        <f t="shared" si="58"/>
        <v>探究与认知</v>
      </c>
      <c r="B105" s="50" t="str">
        <f t="shared" si="58"/>
        <v>数学认知</v>
      </c>
      <c r="C105" s="45" t="str">
        <f t="shared" si="58"/>
        <v>感知数、量及数量关系</v>
      </c>
      <c r="D105" s="1" t="s">
        <v>253</v>
      </c>
      <c r="E105" s="4" t="s">
        <v>254</v>
      </c>
      <c r="F105" s="10" t="s">
        <v>292</v>
      </c>
      <c r="G105" s="10">
        <v>1</v>
      </c>
      <c r="H105" s="11" t="s">
        <v>339</v>
      </c>
    </row>
    <row r="106" spans="1:8" ht="16.5" hidden="1" x14ac:dyDescent="0.2">
      <c r="A106" s="50" t="str">
        <f t="shared" ref="A106:B106" si="59">A105</f>
        <v>探究与认知</v>
      </c>
      <c r="B106" s="50" t="str">
        <f t="shared" si="59"/>
        <v>数学认知</v>
      </c>
      <c r="C106" s="43" t="s">
        <v>255</v>
      </c>
      <c r="D106" s="1" t="s">
        <v>256</v>
      </c>
      <c r="E106" s="4" t="s">
        <v>290</v>
      </c>
      <c r="F106" s="10" t="s">
        <v>292</v>
      </c>
      <c r="G106" s="10">
        <v>1</v>
      </c>
      <c r="H106" s="11" t="s">
        <v>338</v>
      </c>
    </row>
    <row r="107" spans="1:8" ht="16.5" hidden="1" x14ac:dyDescent="0.2">
      <c r="A107" s="50" t="str">
        <f t="shared" ref="A107:C108" si="60">A106</f>
        <v>探究与认知</v>
      </c>
      <c r="B107" s="50" t="str">
        <f t="shared" si="60"/>
        <v>数学认知</v>
      </c>
      <c r="C107" s="44" t="str">
        <f t="shared" si="60"/>
        <v>感知形状与空间关系</v>
      </c>
      <c r="D107" s="1" t="s">
        <v>256</v>
      </c>
      <c r="E107" s="4" t="s">
        <v>257</v>
      </c>
      <c r="F107" s="10" t="s">
        <v>292</v>
      </c>
      <c r="G107" s="10">
        <v>1</v>
      </c>
      <c r="H107" s="11" t="str">
        <f t="shared" ref="H107:H110" si="61">H106</f>
        <v>画画时能描绘出大体的结构</v>
      </c>
    </row>
    <row r="108" spans="1:8" ht="16.5" hidden="1" x14ac:dyDescent="0.2">
      <c r="A108" s="51" t="str">
        <f t="shared" si="60"/>
        <v>探究与认知</v>
      </c>
      <c r="B108" s="51" t="str">
        <f t="shared" si="60"/>
        <v>数学认知</v>
      </c>
      <c r="C108" s="45" t="str">
        <f t="shared" si="60"/>
        <v>感知形状与空间关系</v>
      </c>
      <c r="D108" s="3" t="s">
        <v>258</v>
      </c>
      <c r="E108" s="4" t="s">
        <v>259</v>
      </c>
      <c r="F108" s="10" t="s">
        <v>292</v>
      </c>
      <c r="G108" s="10">
        <v>1</v>
      </c>
      <c r="H108" s="11" t="str">
        <f t="shared" si="61"/>
        <v>画画时能描绘出大体的结构</v>
      </c>
    </row>
    <row r="109" spans="1:8" ht="33" hidden="1" x14ac:dyDescent="0.2">
      <c r="A109" s="43" t="s">
        <v>260</v>
      </c>
      <c r="B109" s="43" t="s">
        <v>261</v>
      </c>
      <c r="C109" s="43" t="s">
        <v>262</v>
      </c>
      <c r="D109" s="3" t="s">
        <v>263</v>
      </c>
      <c r="E109" s="4" t="s">
        <v>264</v>
      </c>
      <c r="F109" s="10" t="s">
        <v>292</v>
      </c>
      <c r="G109" s="10">
        <v>1</v>
      </c>
      <c r="H109" s="11" t="str">
        <f t="shared" si="61"/>
        <v>画画时能描绘出大体的结构</v>
      </c>
    </row>
    <row r="110" spans="1:8" ht="33" hidden="1" x14ac:dyDescent="0.2">
      <c r="A110" s="44" t="str">
        <f t="shared" ref="A110:A113" si="62">A109</f>
        <v>美感与表现</v>
      </c>
      <c r="B110" s="44" t="str">
        <f t="shared" ref="B110:C112" si="63">B109</f>
        <v>感受与欣赏</v>
      </c>
      <c r="C110" s="44" t="str">
        <f t="shared" si="63"/>
        <v>感受自然界与生活中美的事物</v>
      </c>
      <c r="D110" s="3" t="s">
        <v>265</v>
      </c>
      <c r="E110" s="4" t="s">
        <v>266</v>
      </c>
      <c r="F110" s="10" t="s">
        <v>292</v>
      </c>
      <c r="G110" s="10">
        <v>1</v>
      </c>
      <c r="H110" s="11" t="str">
        <f t="shared" si="61"/>
        <v>画画时能描绘出大体的结构</v>
      </c>
    </row>
    <row r="111" spans="1:8" ht="33" hidden="1" x14ac:dyDescent="0.2">
      <c r="A111" s="44" t="str">
        <f t="shared" si="62"/>
        <v>美感与表现</v>
      </c>
      <c r="B111" s="44" t="str">
        <f t="shared" si="63"/>
        <v>感受与欣赏</v>
      </c>
      <c r="C111" s="44" t="str">
        <f t="shared" si="63"/>
        <v>感受自然界与生活中美的事物</v>
      </c>
      <c r="D111" s="3" t="s">
        <v>267</v>
      </c>
      <c r="E111" s="4" t="s">
        <v>268</v>
      </c>
      <c r="F111" s="10" t="s">
        <v>292</v>
      </c>
      <c r="G111" s="10">
        <v>1</v>
      </c>
      <c r="H111" s="11" t="s">
        <v>340</v>
      </c>
    </row>
    <row r="112" spans="1:8" ht="33" hidden="1" x14ac:dyDescent="0.2">
      <c r="A112" s="44" t="str">
        <f t="shared" si="62"/>
        <v>美感与表现</v>
      </c>
      <c r="B112" s="45" t="str">
        <f t="shared" si="63"/>
        <v>感受与欣赏</v>
      </c>
      <c r="C112" s="45" t="str">
        <f t="shared" si="63"/>
        <v>感受自然界与生活中美的事物</v>
      </c>
      <c r="D112" s="3" t="s">
        <v>269</v>
      </c>
      <c r="E112" s="4" t="s">
        <v>270</v>
      </c>
      <c r="F112" s="10" t="s">
        <v>292</v>
      </c>
      <c r="G112" s="10">
        <v>1</v>
      </c>
      <c r="H112" s="11" t="str">
        <f>H111</f>
        <v>会模仿动画片、儿童剧里的情节</v>
      </c>
    </row>
    <row r="113" spans="1:8" ht="16.5" hidden="1" x14ac:dyDescent="0.2">
      <c r="A113" s="44" t="str">
        <f t="shared" si="62"/>
        <v>美感与表现</v>
      </c>
      <c r="B113" s="46" t="s">
        <v>271</v>
      </c>
      <c r="C113" s="46" t="s">
        <v>272</v>
      </c>
      <c r="D113" s="5" t="s">
        <v>273</v>
      </c>
      <c r="E113" s="6" t="s">
        <v>274</v>
      </c>
      <c r="F113" s="10" t="s">
        <v>292</v>
      </c>
      <c r="G113" s="10">
        <v>1</v>
      </c>
      <c r="H113" s="11" t="s">
        <v>341</v>
      </c>
    </row>
    <row r="114" spans="1:8" ht="16.5" x14ac:dyDescent="0.2">
      <c r="A114" s="44" t="str">
        <f t="shared" ref="A114:C114" si="64">A113</f>
        <v>美感与表现</v>
      </c>
      <c r="B114" s="47" t="str">
        <f t="shared" si="64"/>
        <v>表现与创造</v>
      </c>
      <c r="C114" s="48" t="str">
        <f t="shared" si="64"/>
        <v>具有艺术表现的兴趣</v>
      </c>
      <c r="D114" s="23" t="s">
        <v>275</v>
      </c>
      <c r="E114" s="24" t="s">
        <v>276</v>
      </c>
      <c r="F114" s="25" t="s">
        <v>299</v>
      </c>
      <c r="G114" s="25">
        <v>0.5</v>
      </c>
      <c r="H114" s="26" t="s">
        <v>342</v>
      </c>
    </row>
    <row r="115" spans="1:8" ht="33" hidden="1" x14ac:dyDescent="0.2">
      <c r="A115" s="44" t="str">
        <f t="shared" ref="A115:B115" si="65">A114</f>
        <v>美感与表现</v>
      </c>
      <c r="B115" s="47" t="str">
        <f t="shared" si="65"/>
        <v>表现与创造</v>
      </c>
      <c r="C115" s="43" t="s">
        <v>277</v>
      </c>
      <c r="D115" s="3" t="s">
        <v>278</v>
      </c>
      <c r="E115" s="4" t="s">
        <v>291</v>
      </c>
      <c r="F115" s="10" t="s">
        <v>292</v>
      </c>
      <c r="G115" s="10">
        <v>1</v>
      </c>
      <c r="H115" s="11" t="s">
        <v>343</v>
      </c>
    </row>
    <row r="116" spans="1:8" ht="33" hidden="1" x14ac:dyDescent="0.2">
      <c r="A116" s="44" t="str">
        <f t="shared" ref="A116:C118" si="66">A115</f>
        <v>美感与表现</v>
      </c>
      <c r="B116" s="47" t="str">
        <f t="shared" si="66"/>
        <v>表现与创造</v>
      </c>
      <c r="C116" s="44" t="str">
        <f t="shared" si="66"/>
        <v>具有初步的艺术表现与创造力</v>
      </c>
      <c r="D116" s="3" t="s">
        <v>279</v>
      </c>
      <c r="E116" s="2" t="s">
        <v>280</v>
      </c>
      <c r="F116" s="10" t="s">
        <v>292</v>
      </c>
      <c r="G116" s="10">
        <v>1</v>
      </c>
      <c r="H116" s="11" t="str">
        <f t="shared" ref="H116:H118" si="67">H115</f>
        <v>唱歌能唱准音调</v>
      </c>
    </row>
    <row r="117" spans="1:8" ht="33" hidden="1" x14ac:dyDescent="0.2">
      <c r="A117" s="44" t="str">
        <f t="shared" si="66"/>
        <v>美感与表现</v>
      </c>
      <c r="B117" s="47" t="str">
        <f t="shared" si="66"/>
        <v>表现与创造</v>
      </c>
      <c r="C117" s="44" t="str">
        <f t="shared" si="66"/>
        <v>具有初步的艺术表现与创造力</v>
      </c>
      <c r="D117" s="3" t="s">
        <v>281</v>
      </c>
      <c r="E117" s="4" t="s">
        <v>282</v>
      </c>
      <c r="F117" s="10" t="s">
        <v>292</v>
      </c>
      <c r="G117" s="10">
        <v>1</v>
      </c>
      <c r="H117" s="11" t="str">
        <f t="shared" si="67"/>
        <v>唱歌能唱准音调</v>
      </c>
    </row>
    <row r="118" spans="1:8" ht="33" hidden="1" x14ac:dyDescent="0.2">
      <c r="A118" s="45" t="str">
        <f t="shared" si="66"/>
        <v>美感与表现</v>
      </c>
      <c r="B118" s="48" t="str">
        <f t="shared" si="66"/>
        <v>表现与创造</v>
      </c>
      <c r="C118" s="45" t="str">
        <f t="shared" si="66"/>
        <v>具有初步的艺术表现与创造力</v>
      </c>
      <c r="D118" s="3" t="s">
        <v>283</v>
      </c>
      <c r="E118" s="2" t="s">
        <v>284</v>
      </c>
      <c r="F118" s="10" t="s">
        <v>292</v>
      </c>
      <c r="G118" s="10">
        <v>1</v>
      </c>
      <c r="H118" s="11" t="str">
        <f t="shared" si="67"/>
        <v>唱歌能唱准音调</v>
      </c>
    </row>
  </sheetData>
  <autoFilter ref="A1:H118" xr:uid="{A93294B4-877F-40E9-884D-F9C106185DBF}">
    <filterColumn colId="5">
      <filters>
        <filter val="不符合"/>
        <filter val="较符合"/>
      </filters>
    </filterColumn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各指标得分情况</vt:lpstr>
      <vt:lpstr>统计与得分</vt:lpstr>
      <vt:lpstr>指标表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gao</dc:creator>
  <cp:lastModifiedBy>yuan gao</cp:lastModifiedBy>
  <dcterms:created xsi:type="dcterms:W3CDTF">2022-06-14T08:51:39Z</dcterms:created>
  <dcterms:modified xsi:type="dcterms:W3CDTF">2022-06-24T10:43:43Z</dcterms:modified>
</cp:coreProperties>
</file>