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2030" windowHeight="11490"/>
  </bookViews>
  <sheets>
    <sheet name="各指标得分情况" sheetId="1" r:id="rId1"/>
    <sheet name="统计与得分" sheetId="3" r:id="rId2"/>
    <sheet name="指标表" sheetId="2" r:id="rId3"/>
  </sheets>
  <definedNames>
    <definedName name="_xlnm._FilterDatabase" localSheetId="0" hidden="1">各指标得分情况!$A$1:$H$118</definedName>
    <definedName name="_xlnm._FilterDatabase" localSheetId="2" hidden="1">指标表!$A$1:$H$124</definedName>
  </definedNames>
  <calcPr calcId="144525"/>
  <pivotCaches>
    <pivotCache cacheId="0" r:id="rId4"/>
    <pivotCache cacheId="1" r:id="rId5"/>
  </pivotCaches>
</workbook>
</file>

<file path=xl/sharedStrings.xml><?xml version="1.0" encoding="utf-8"?>
<sst xmlns="http://schemas.openxmlformats.org/spreadsheetml/2006/main" count="1259" uniqueCount="337">
  <si>
    <t>领域</t>
  </si>
  <si>
    <t>子领域</t>
  </si>
  <si>
    <t>目标</t>
  </si>
  <si>
    <t>指标名称</t>
  </si>
  <si>
    <t>表现行为描述</t>
  </si>
  <si>
    <t>是否达标</t>
  </si>
  <si>
    <t>得分</t>
  </si>
  <si>
    <t>备注</t>
  </si>
  <si>
    <t>健康与体能</t>
  </si>
  <si>
    <t>身心状态</t>
  </si>
  <si>
    <t>具有健康的体态</t>
  </si>
  <si>
    <t>身高体重</t>
  </si>
  <si>
    <t>男孩身高110.80-126.50厘米，体重18.00-27.45千克；
女孩身高110.75-125.30厘米，体重17.50-25.30千克</t>
  </si>
  <si>
    <t>符合</t>
  </si>
  <si>
    <t>11月身高117cm，体重20kg</t>
  </si>
  <si>
    <t>保持坐立行</t>
  </si>
  <si>
    <t>能经常保持良好的站姿、坐姿和走路姿势</t>
  </si>
  <si>
    <t>情绪安定愉快</t>
  </si>
  <si>
    <t>愉快又安定</t>
  </si>
  <si>
    <t>经常保持愉快、稳定的情绪，能进行自我缓解消极情绪。</t>
  </si>
  <si>
    <t>过激情绪能缓和</t>
  </si>
  <si>
    <t>情绪过激时，能用恰当的方式表达情绪，不随意发脾气。</t>
  </si>
  <si>
    <t>具有一定的适应能力</t>
  </si>
  <si>
    <t>坚持户外活动</t>
  </si>
  <si>
    <t>能在较热或较冷的天气坚持活动半小时以上。</t>
  </si>
  <si>
    <t>适应新环境</t>
  </si>
  <si>
    <t>天气变化或季节交替时较少生病，外出能逐步承受环境、交通工具等带来的身体不适。</t>
  </si>
  <si>
    <t>动作发展</t>
  </si>
  <si>
    <t>对运动感兴趣</t>
  </si>
  <si>
    <t>运动感兴趣</t>
  </si>
  <si>
    <t>乐于尝试不同的运动器械和材料，开展不同的身体动作，锻炼身体各部位。</t>
  </si>
  <si>
    <t>每次回乡下都要去健身器材锻炼</t>
  </si>
  <si>
    <t>具有一定的平衡能力，动作协调、灵敏</t>
  </si>
  <si>
    <t>平稳行走</t>
  </si>
  <si>
    <t>能在斜坡、荡桥和有一定间隔的物体上比较平稳地行走一定的距离。</t>
  </si>
  <si>
    <t>上下肢协调</t>
  </si>
  <si>
    <t>能手脚并用、协调平稳地攀爬。</t>
  </si>
  <si>
    <t>躲闪灵敏</t>
  </si>
  <si>
    <t>能躲避朝自己滚来的球或扔来的沙包等移动物体。</t>
  </si>
  <si>
    <t>拍球</t>
  </si>
  <si>
    <t>能在行进中连续拍球。</t>
  </si>
  <si>
    <t>不符合</t>
  </si>
  <si>
    <t>连续跳绳</t>
  </si>
  <si>
    <t>能连续跳绳至少3个。</t>
  </si>
  <si>
    <t>连续2个</t>
  </si>
  <si>
    <t>具有一定的力量和耐力</t>
  </si>
  <si>
    <t>抓杠悬垂</t>
  </si>
  <si>
    <t>能双手抓杠，身体悬空下垂20秒左右。</t>
  </si>
  <si>
    <t>10s左右</t>
  </si>
  <si>
    <t>挥臂向前投掷</t>
  </si>
  <si>
    <t>能单手挥臂向前投掷5米左右。</t>
  </si>
  <si>
    <t>较符合</t>
  </si>
  <si>
    <t>扔飞盘可以3米左右</t>
  </si>
  <si>
    <t>连续行进跳</t>
  </si>
  <si>
    <t>能单脚连续向前行进跳8米左右。</t>
  </si>
  <si>
    <t>定向快跑</t>
  </si>
  <si>
    <t>能向指定方向快跑25米左右。</t>
  </si>
  <si>
    <t>远足步行</t>
  </si>
  <si>
    <t>远足时能连续步行1500米以上的路程。</t>
  </si>
  <si>
    <t>未测试</t>
  </si>
  <si>
    <t>手的动作灵活、协调</t>
  </si>
  <si>
    <t>使用餐具</t>
  </si>
  <si>
    <t>能熟练使用筷子。</t>
  </si>
  <si>
    <t>使用画笔</t>
  </si>
  <si>
    <t>能用笔等工具画出线条基本平滑的常见图形。</t>
  </si>
  <si>
    <t>使用剪刀</t>
  </si>
  <si>
    <t>能剪出由直线构成的简单图形，边线吻合和平滑。</t>
  </si>
  <si>
    <t>使用材料与工具</t>
  </si>
  <si>
    <t>能使用镊子、订书机、锤子等简单工具。</t>
  </si>
  <si>
    <t>习惯与自理</t>
  </si>
  <si>
    <t>生活习惯和能力</t>
  </si>
  <si>
    <t>具有基本的生活自理能力和良好的生活与卫生习惯</t>
  </si>
  <si>
    <t>作息起居</t>
  </si>
  <si>
    <t>每天能按时起居和午睡，保持11小时左右的睡眠时间。</t>
  </si>
  <si>
    <t>9点前睡下，早上7点后起床，每晚10小时睡眠时间</t>
  </si>
  <si>
    <t>饮食习惯</t>
  </si>
  <si>
    <t>进食时能细嚼慢咽。</t>
  </si>
  <si>
    <t>饮水习惯</t>
  </si>
  <si>
    <t>能主动喝白开水。</t>
  </si>
  <si>
    <t>盥洗习惯</t>
  </si>
  <si>
    <t>能每天早晚坚持刷牙，饭前便后洗手，刷牙、洗手的方法基本正确。</t>
  </si>
  <si>
    <t>穿脱衣物</t>
  </si>
  <si>
    <t>能根据自己的冷热感受增减衣服</t>
  </si>
  <si>
    <t>如厕习惯</t>
  </si>
  <si>
    <t>能正确使用便纸。</t>
  </si>
  <si>
    <t>具有基本的自我保护能力</t>
  </si>
  <si>
    <t>安全规则与意识</t>
  </si>
  <si>
    <t>能识别危险，并告诉家长或教师。</t>
  </si>
  <si>
    <t>隐私保护</t>
  </si>
  <si>
    <t>当他人触碰自己身体的隐私部分时，知道逃避和求助。</t>
  </si>
  <si>
    <t>游戏运动安全</t>
  </si>
  <si>
    <t>运动和游戏时能不给他人造成危险。</t>
  </si>
  <si>
    <t>能够主动识别并提醒其他小朋友有危险</t>
  </si>
  <si>
    <t>调节运动量</t>
  </si>
  <si>
    <t>运动中知道自我调节运动量，注意休息和放松。</t>
  </si>
  <si>
    <t>走失会处理</t>
  </si>
  <si>
    <t>知道在走失或遇到紧急情况时能项警察等提供家人的联系电话、家庭住址等，有自我保护的办法。</t>
  </si>
  <si>
    <t>保护五官</t>
  </si>
  <si>
    <t>主动保护眼睛，会运用保护眼睛的方法，在提醒下连续看电视不超过30分钟。</t>
  </si>
  <si>
    <t>逃生技能</t>
  </si>
  <si>
    <t>知道火灾、地震等自然灾害发生时的一些基本逃生方法。</t>
  </si>
  <si>
    <t>学习习惯</t>
  </si>
  <si>
    <t>倾听习惯良好</t>
  </si>
  <si>
    <t>倾听有意识</t>
  </si>
  <si>
    <t>能在集体中安静倾听他人讲话。</t>
  </si>
  <si>
    <t>爱提问题</t>
  </si>
  <si>
    <t>对自己感兴趣的问题，会主动追问和探索。</t>
  </si>
  <si>
    <t>做事专注、坚持</t>
  </si>
  <si>
    <t>专注抗干扰</t>
  </si>
  <si>
    <t>有一定的抗干扰能力，能认真负责地完成自己所接受的任务。</t>
  </si>
  <si>
    <t>串珠或画画时，故意干扰她，能专注完成</t>
  </si>
  <si>
    <t>坚持不放弃</t>
  </si>
  <si>
    <t>遇到困难时能多次尝试，不轻易放弃，直到任务完成。</t>
  </si>
  <si>
    <t>遇到有挑战性的困难会寻求大人帮助</t>
  </si>
  <si>
    <t>文明习惯</t>
  </si>
  <si>
    <t>具有文明的言行举止</t>
  </si>
  <si>
    <t>回应有意愿</t>
  </si>
  <si>
    <t>能积极主动地回应别人对自己所说的话。</t>
  </si>
  <si>
    <t>音量语气恰当</t>
  </si>
  <si>
    <t>身处不同情境和面对不同对象时，能注意说话的语气及使用恰当的语言。</t>
  </si>
  <si>
    <t>说话有礼貌</t>
  </si>
  <si>
    <t>谈话时能按顺序轮流说话，不随意插嘴、打断别人。</t>
  </si>
  <si>
    <t>遵守基本的行为规范</t>
  </si>
  <si>
    <t>遵守秩序</t>
  </si>
  <si>
    <t>能遵守社会公共场合的秩序，不大声喧哗，人多时能排队等候。</t>
  </si>
  <si>
    <t>爱护物品</t>
  </si>
  <si>
    <t>能爱护自己、别人和集体的东西。</t>
  </si>
  <si>
    <t>勇于认错</t>
  </si>
  <si>
    <t>犯错时勇于承认。</t>
  </si>
  <si>
    <t>除非有意犯的错，无意中犯的错都不愿意承认；并且对道歉行为比较抵触</t>
  </si>
  <si>
    <t>节约资源</t>
  </si>
  <si>
    <t>爱护环境，能节约粮食、水电、纸等资源。</t>
  </si>
  <si>
    <t>会主动提醒家人不要浪费，注意关灯</t>
  </si>
  <si>
    <t>物品自己理</t>
  </si>
  <si>
    <t>能分类收拾整理好自己使用的物品。</t>
  </si>
  <si>
    <t>自我与社会性</t>
  </si>
  <si>
    <t>自我意识</t>
  </si>
  <si>
    <t>知道自己和他人不同，接纳自我</t>
  </si>
  <si>
    <t>了解我身体</t>
  </si>
  <si>
    <t>能接纳自己的身体特征。</t>
  </si>
  <si>
    <t>我有我独特</t>
  </si>
  <si>
    <t>能从爱好与兴趣等方面描述自己与他人的不同之处与相同之处。</t>
  </si>
  <si>
    <t>情绪表达</t>
  </si>
  <si>
    <t>知道引起自己某种情绪的原因，能在提醒下克制自己的冲动。</t>
  </si>
  <si>
    <t>能够较准确表达自己当时的情绪，并讲述希望如何</t>
  </si>
  <si>
    <t>想法可不同</t>
  </si>
  <si>
    <t>活动中能倾听和接纳同伴与自己不一样的意见，不同意时会表达自己的想法。</t>
  </si>
  <si>
    <t>具有自尊、自信、自主的表现</t>
  </si>
  <si>
    <t>活动能自主</t>
  </si>
  <si>
    <t>能主动发起活动，活动中积极表达自己的想法并坚持。</t>
  </si>
  <si>
    <t>我行我自豪</t>
  </si>
  <si>
    <t>做了好事情或取得活动成果后还想做得更好。</t>
  </si>
  <si>
    <t>独立不依赖</t>
  </si>
  <si>
    <t>自己的事情能自己做，愿意学不会做的事情。</t>
  </si>
  <si>
    <t>任务能挑战</t>
  </si>
  <si>
    <t>敢于尝试有一定挑战性的任务，能设法努力完成自己接受的任务。</t>
  </si>
  <si>
    <t>任务有计划</t>
  </si>
  <si>
    <t>能对自己做的计划、事情和结果进行回忆，做出简单的分析，并与愿意做恰当的调整。</t>
  </si>
  <si>
    <t>人际交往</t>
  </si>
  <si>
    <t>愿意与人交往，能与同伴友好相处</t>
  </si>
  <si>
    <t>愿意交朋友</t>
  </si>
  <si>
    <t>有自己的好朋友，还喜欢与新朋友交往。</t>
  </si>
  <si>
    <t>与成人交往</t>
  </si>
  <si>
    <t>有问题能询问别人，遇到困难能向他人寻求帮助。</t>
  </si>
  <si>
    <t>与同伴交往</t>
  </si>
  <si>
    <t>愿意与大家分享和交流高兴的或有趣的事。</t>
  </si>
  <si>
    <t>尤其是散步和睡觉前，会默默讲述很多自己的事情</t>
  </si>
  <si>
    <t>冲突解决</t>
  </si>
  <si>
    <t>能想办法结伴共同游戏，活动中能与同伴分工、合作、协商，一起克服困难，解决矛盾。</t>
  </si>
  <si>
    <t>谦让不受欺</t>
  </si>
  <si>
    <t>能谦让比自己幼小和体弱的同伴，也不让别人欺负自己。</t>
  </si>
  <si>
    <t>关心和尊重他人</t>
  </si>
  <si>
    <t>礼貌相处</t>
  </si>
  <si>
    <t>能有礼貌地与他人相处和交往。</t>
  </si>
  <si>
    <t>关心他人</t>
  </si>
  <si>
    <t>能关注他人的情绪和需求，会在他人难过、有困难时表现出关心，并努力给予适当的帮助。</t>
  </si>
  <si>
    <t>尊重接纳他人</t>
  </si>
  <si>
    <t>能尊重并接纳生活方式和习惯不同的人。</t>
  </si>
  <si>
    <t>尊重劳动成果</t>
  </si>
  <si>
    <t>能爱护他人的劳动成果，在接受他人服务与帮助时会表示感谢。</t>
  </si>
  <si>
    <t>社会适应</t>
  </si>
  <si>
    <t>喜欢并适应群体生活</t>
  </si>
  <si>
    <t>参与集体生活</t>
  </si>
  <si>
    <t>活动中能与同伴共同协商制定规则。</t>
  </si>
  <si>
    <t>喜欢集体生活</t>
  </si>
  <si>
    <t>对小学生活充满好奇和向往。</t>
  </si>
  <si>
    <t>新人际环境</t>
  </si>
  <si>
    <t>面对新伙伴、新老师时，能较快适应新的人际环境，主动参与活动。</t>
  </si>
  <si>
    <t>具有初步的归属感</t>
  </si>
  <si>
    <t>集体归属感</t>
  </si>
  <si>
    <t>愿意为集体服务，能为集体取得的成绩而高兴。</t>
  </si>
  <si>
    <t>家乡我自豪</t>
  </si>
  <si>
    <t>知道家乡发生的重大变化，并能为此感到高兴。</t>
  </si>
  <si>
    <t>祖国我热爱</t>
  </si>
  <si>
    <t>知道自己的民族，知道国家取得的重大成就，为自己是中国人感到自豪。</t>
  </si>
  <si>
    <t>会唱国歌，知道国家领导人</t>
  </si>
  <si>
    <t>感受和体验多元文化</t>
  </si>
  <si>
    <t>感受多元文化</t>
  </si>
  <si>
    <t>知道中国是一个多民族的大家庭、体验其他民族、国家的简单礼仪、风俗。</t>
  </si>
  <si>
    <t>尊重多元文化</t>
  </si>
  <si>
    <t>理解各地区、各民族之间的人是平等的，应该互相尊重、友好相处。</t>
  </si>
  <si>
    <t>语言与交流</t>
  </si>
  <si>
    <t>理解与表达</t>
  </si>
  <si>
    <t>能听懂常用语言</t>
  </si>
  <si>
    <t>听懂话语和情境</t>
  </si>
  <si>
    <t>能结合情境理解含因果、假设、转折等关系的较复杂的句子。</t>
  </si>
  <si>
    <t>会使用“假如我乖的话，能不能买xx；所以xxx；竟然”</t>
  </si>
  <si>
    <t>听不懂能提问</t>
  </si>
  <si>
    <t>能听懂带有两个以上要求或指令的句子，有疑问时能主动提问。</t>
  </si>
  <si>
    <t>能理解复合句式</t>
  </si>
  <si>
    <t>愿意用语言进行交流并能清楚地表达</t>
  </si>
  <si>
    <t>愿意交流表达</t>
  </si>
  <si>
    <t>乐于参与讨论问题，能在众人面前表达自己的想法。</t>
  </si>
  <si>
    <t>发音清晰</t>
  </si>
  <si>
    <t>说普通话及本民族或本地区的语言时，发音正确清晰。</t>
  </si>
  <si>
    <t>完整连贯表达</t>
  </si>
  <si>
    <t>能使用连贯、清晰的语言讲述自己的经历和见闻。</t>
  </si>
  <si>
    <t>讲述发生在身边的事情或阅读的故事，流利性和完整性还需要引导</t>
  </si>
  <si>
    <t>清楚表达</t>
  </si>
  <si>
    <t>讲述时能使用常用的形容词、同义词等。能使用表示因果、假设等相对复杂关系的句子，语言较生动。</t>
  </si>
  <si>
    <t>前阅读与前书写</t>
  </si>
  <si>
    <t>喜欢听故事，看图书</t>
  </si>
  <si>
    <t>自主阅读</t>
  </si>
  <si>
    <t>能专注地阅读图书，不受外界干扰。</t>
  </si>
  <si>
    <t>阅读爱互动</t>
  </si>
  <si>
    <t>乐意与他人交流讨论图书和故事中的有关内容。</t>
  </si>
  <si>
    <t>更愿意和小朋友讨论</t>
  </si>
  <si>
    <t>了解文字符号</t>
  </si>
  <si>
    <t>对图书和生活中的文字符号感兴趣，了解文字符号表达一定的意义。</t>
  </si>
  <si>
    <t>具有初步的阅读理解能力</t>
  </si>
  <si>
    <t>故事能复述</t>
  </si>
  <si>
    <t>能说出所阅读的文学作品的主要内容。</t>
  </si>
  <si>
    <t>阅读能理解</t>
  </si>
  <si>
    <t>能根据故事的部分情节或图书画面的线索，续编或创编故事。</t>
  </si>
  <si>
    <t>阅读能鉴赏</t>
  </si>
  <si>
    <t>阅读图书及听故事后能发表自己对作品的看法。</t>
  </si>
  <si>
    <t>能初步感受文学作品中的语言美。</t>
  </si>
  <si>
    <t>具有书面表达的愿望和初步技能</t>
  </si>
  <si>
    <t>写画意愿</t>
  </si>
  <si>
    <t>能用图画和符号表现事物或故事。</t>
  </si>
  <si>
    <t>写画姿势</t>
  </si>
  <si>
    <t>画画、书写时姿势正确。</t>
  </si>
  <si>
    <t>识写我名字</t>
  </si>
  <si>
    <t>能写自己的名字。</t>
  </si>
  <si>
    <t>探究与认知</t>
  </si>
  <si>
    <t>科学探究</t>
  </si>
  <si>
    <t>喜欢探究</t>
  </si>
  <si>
    <t>好奇好问好探究</t>
  </si>
  <si>
    <t>乐于在动手、动脑中寻求问题的答案，对探索中的发现感到高兴和满足。</t>
  </si>
  <si>
    <t>用一定的方法探究周围感兴趣的事物与现象</t>
  </si>
  <si>
    <t>观察比较与分析</t>
  </si>
  <si>
    <t>能在观察、比较与分析的基础上，发现并描述事物的特征或变化，以及事物之间的关系。</t>
  </si>
  <si>
    <t>思考猜测并验证</t>
  </si>
  <si>
    <t>能用一些简单的方法来验证自己的猜测，并根据结果进行调整。</t>
  </si>
  <si>
    <t>收集信息</t>
  </si>
  <si>
    <t>在帮助下，能制定简单的调查计划，并按计划收集信息。</t>
  </si>
  <si>
    <t>记录形式多样化</t>
  </si>
  <si>
    <t>能运用数字、图画、图表或其他符号等记录探究过程和结果。</t>
  </si>
  <si>
    <t>合作探究与交流</t>
  </si>
  <si>
    <t>能在探究中与同伴合作，并交流自己的发现、问题、观点和结果等。</t>
  </si>
  <si>
    <t>在探究中认识事物与现象</t>
  </si>
  <si>
    <t>探究动植物</t>
  </si>
  <si>
    <t>能发现和了解典型动植物的外形特征、习性与其生存环境之间的适应关系。</t>
  </si>
  <si>
    <t>之前学过鸟类的嘴型和捕食习惯之间的关系，最近再问已经忘记了</t>
  </si>
  <si>
    <t>探究物体材料</t>
  </si>
  <si>
    <t>能了解常见物体的结构与功能，发现两者之间的关系。</t>
  </si>
  <si>
    <t>探究物理现象</t>
  </si>
  <si>
    <t>能探索和发现光、影、沉浮、水的形态等简单物理现象产生的条件或影响因素等。</t>
  </si>
  <si>
    <t>气候与生活</t>
  </si>
  <si>
    <t>能感知并了解四季轮回及变化的顺序。</t>
  </si>
  <si>
    <t>自然与生活</t>
  </si>
  <si>
    <t>初步了解人类生活和自然环境之间的关系，懂得尊重和珍惜生命,知道保护环境的重要性。</t>
  </si>
  <si>
    <t>“最重要的是钱，最最重要的是生命”</t>
  </si>
  <si>
    <t>科技与生活</t>
  </si>
  <si>
    <t>知道一些事物具有两面性，汽车、手机、电脑等产品有利也有弊。</t>
  </si>
  <si>
    <t>数学认知</t>
  </si>
  <si>
    <t>初步感知生活中数学的有用和有趣</t>
  </si>
  <si>
    <t>感知形状和空间</t>
  </si>
  <si>
    <t>能感知空间大小与人们活动的关系。</t>
  </si>
  <si>
    <t>感知运用数</t>
  </si>
  <si>
    <t>能发现生活中简单的排列规律，并尝试创造新的规律。
能发现生活和游戏中的许多问题可以用计数、排序、分类、测量等数学方法来解决，体验解决问题的乐趣。</t>
  </si>
  <si>
    <t>感知时间</t>
  </si>
  <si>
    <t>在活动中感受和理解时间的先后与长短，逐步形成时间意识。</t>
  </si>
  <si>
    <t>感知数、量及数量关系</t>
  </si>
  <si>
    <t>量的比较</t>
  </si>
  <si>
    <t>能初步感知和理解量的相对性。</t>
  </si>
  <si>
    <t>感知数量关系</t>
  </si>
  <si>
    <t>能借助实际情况和实物操作，理解“加”和“减”所表达的实际意义。</t>
  </si>
  <si>
    <t>能运用实物操作等方法进行10以内的加减运算。</t>
  </si>
  <si>
    <t>数的表述</t>
  </si>
  <si>
    <t>能运用简单的记录表，统计图等来表示数量关系。</t>
  </si>
  <si>
    <t>感知形状与空间关系</t>
  </si>
  <si>
    <t>形状认知</t>
  </si>
  <si>
    <t>能组合运用常见的几何形体拼搭、制作和画出物体的造型，富有一定的创意。</t>
  </si>
  <si>
    <t>空间认知</t>
  </si>
  <si>
    <t>能按指示空间方位的语言或简单图来取放物品，反应正确。</t>
  </si>
  <si>
    <t>能辨别以自己为中心的左右方位。</t>
  </si>
  <si>
    <t>有的时候会不确定自己选择对不对</t>
  </si>
  <si>
    <t>美感与表现</t>
  </si>
  <si>
    <t>感受与欣赏</t>
  </si>
  <si>
    <t>感受自然界与生活中美的事物</t>
  </si>
  <si>
    <t>感受视觉美</t>
  </si>
  <si>
    <t>喜欢收集美的物品或向他人介绍自己所发现的美的事物。</t>
  </si>
  <si>
    <t>感受听觉美</t>
  </si>
  <si>
    <t>喜欢关注大自然和生活环境中有特点的声音，能进行模仿并产生相应的联想</t>
  </si>
  <si>
    <t>感受景观美</t>
  </si>
  <si>
    <t>对自然景色、著名建筑、名胜古迹等景观感兴趣。</t>
  </si>
  <si>
    <t>感受多种多样的艺术形式和作品</t>
  </si>
  <si>
    <t>表达欣赏感受</t>
  </si>
  <si>
    <t>喜欢参加艺术欣赏活动，能通过表情、动作、语言等表达自己对作品的理解。</t>
  </si>
  <si>
    <t>能和他人分享交流自己喜欢的艺术作品和对作品的体验。</t>
  </si>
  <si>
    <t>表现与创造</t>
  </si>
  <si>
    <t>具有艺术表现的兴趣</t>
  </si>
  <si>
    <t>音乐感兴趣</t>
  </si>
  <si>
    <t>积极参加音乐艺术活动，对某类活动形式表现出偏爱。</t>
  </si>
  <si>
    <t>美工感兴趣</t>
  </si>
  <si>
    <t>乐于运用多种工具、材料或不同的表现手法来表达观察到的事物和自己的感受与想象。
积极参加美术艺术活动，对某类活动形式表现出偏爱。</t>
  </si>
  <si>
    <t>自主又合作</t>
  </si>
  <si>
    <t>艺术活动中能独立表现，也能与同伴合作表现。</t>
  </si>
  <si>
    <t>具有初步的艺术表现与创造力</t>
  </si>
  <si>
    <t>歌唱表现</t>
  </si>
  <si>
    <t>能运用基本准确的音调和节奏唱歌。</t>
  </si>
  <si>
    <t>律动表现</t>
  </si>
  <si>
    <t>能通过律动或简单的舞蹈动作表达自己的情绪或表现自然界的情景。</t>
  </si>
  <si>
    <t>表演表现</t>
  </si>
  <si>
    <t>能创编和表演故事，并根据表演的需要选配、制作简单的服饰、道具或布置场景。</t>
  </si>
  <si>
    <t>热衷于扮演艾莎公主</t>
  </si>
  <si>
    <t>美术表现</t>
  </si>
  <si>
    <t>能运用较丰富的色彩、线条、形状以及材质等表现自己观察到的或想象的事物及感受。</t>
  </si>
  <si>
    <t>艺术作品运用</t>
  </si>
  <si>
    <t>能运用自己制作的艺术作品布置环境、装扮自己和美化生活。</t>
  </si>
  <si>
    <t>擅长使用贴纸装扮环境</t>
  </si>
  <si>
    <t>行标签</t>
  </si>
  <si>
    <t>求和项:得分</t>
  </si>
  <si>
    <t>计数项:指标名称</t>
  </si>
  <si>
    <t>总计</t>
  </si>
  <si>
    <t>计数项:是否达标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</si>
</sst>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b/>
      <sz val="10"/>
      <color theme="0"/>
      <name val="微软雅黑"/>
      <charset val="134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10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1A9A9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0" fillId="0" borderId="0"/>
    <xf numFmtId="0" fontId="22" fillId="0" borderId="0">
      <alignment vertical="center"/>
    </xf>
    <xf numFmtId="0" fontId="0" fillId="0" borderId="0"/>
    <xf numFmtId="0" fontId="23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50" applyFont="1" applyFill="1" applyBorder="1" applyAlignment="1">
      <alignment horizontal="center" vertical="center" wrapText="1"/>
    </xf>
    <xf numFmtId="0" fontId="1" fillId="2" borderId="1" xfId="50" applyFont="1" applyFill="1" applyBorder="1" applyAlignment="1">
      <alignment horizontal="left" vertical="center" wrapText="1"/>
    </xf>
    <xf numFmtId="0" fontId="1" fillId="2" borderId="1" xfId="52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5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</cellStyles>
  <dxfs count="1">
    <dxf>
      <numFmt numFmtId="2" formatCode="0.00"/>
    </dxf>
  </dxfs>
  <tableStyles count="0" defaultTableStyle="TableStyleMedium2" defaultPivotStyle="PivotStyleLight16"/>
  <colors>
    <mruColors>
      <color rgb="00D24444"/>
      <color rgb="00A47272"/>
      <color rgb="00E1A9A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5264.4207175926" refreshedBy="haida" recordCount="117">
  <cacheSource type="worksheet">
    <worksheetSource ref="A1:H118" sheet="指标表"/>
  </cacheSource>
  <cacheFields count="8">
    <cacheField name="领域" numFmtId="0">
      <sharedItems count="6">
        <s v="健康与体能"/>
        <s v="习惯与自理"/>
        <s v="自我与社会性"/>
        <s v="语言与交流"/>
        <s v="探究与认知"/>
        <s v="美感与表现"/>
      </sharedItems>
    </cacheField>
    <cacheField name="子领域" numFmtId="0">
      <sharedItems count="14">
        <s v="身心状态"/>
        <s v="动作发展"/>
        <s v="生活习惯和能力"/>
        <s v="学习习惯"/>
        <s v="文明习惯"/>
        <s v="自我意识"/>
        <s v="人际交往"/>
        <s v="社会适应"/>
        <s v="理解与表达"/>
        <s v="前阅读与前书写"/>
        <s v="科学探究"/>
        <s v="数学认知"/>
        <s v="感受与欣赏"/>
        <s v="表现与创造"/>
      </sharedItems>
    </cacheField>
    <cacheField name="目标" numFmtId="0">
      <sharedItems count="35">
        <s v="具有健康的体态"/>
        <s v="情绪安定愉快"/>
        <s v="具有一定的适应能力"/>
        <s v="对运动感兴趣"/>
        <s v="具有一定的平衡能力，动作协调、灵敏"/>
        <s v="具有一定的力量和耐力"/>
        <s v="手的动作灵活、协调"/>
        <s v="具有基本的生活自理能力和良好的生活与卫生习惯"/>
        <s v="具有基本的自我保护能力"/>
        <s v="倾听习惯良好"/>
        <s v="爱提问题"/>
        <s v="做事专注、坚持"/>
        <s v="具有文明的言行举止"/>
        <s v="遵守基本的行为规范"/>
        <s v="知道自己和他人不同，接纳自我"/>
        <s v="具有自尊、自信、自主的表现"/>
        <s v="愿意与人交往，能与同伴友好相处"/>
        <s v="关心和尊重他人"/>
        <s v="喜欢并适应群体生活"/>
        <s v="具有初步的归属感"/>
        <s v="感受和体验多元文化"/>
        <s v="能听懂常用语言"/>
        <s v="愿意用语言进行交流并能清楚地表达"/>
        <s v="喜欢听故事，看图书"/>
        <s v="具有初步的阅读理解能力"/>
        <s v="具有书面表达的愿望和初步技能"/>
        <s v="喜欢探究"/>
        <s v="用一定的方法探究周围感兴趣的事物与现象"/>
        <s v="在探究中认识事物与现象"/>
        <s v="初步感知生活中数学的有用和有趣"/>
        <s v="感知数、量及数量关系"/>
        <s v="感知形状与空间关系"/>
        <s v="感受自然界与生活中美的事物"/>
        <s v="感受多种多样的艺术形式和作品"/>
        <s v="具有艺术表现的兴趣"/>
      </sharedItems>
    </cacheField>
    <cacheField name="指标名称" numFmtId="0">
      <sharedItems count="113">
        <s v="身高体重"/>
        <s v="保持坐立行"/>
        <s v="愉快又安定"/>
        <s v="过激情绪能缓和"/>
        <s v="坚持户外活动"/>
        <s v="适应新环境"/>
        <s v="运动感兴趣"/>
        <s v="平稳行走"/>
        <s v="上下肢协调"/>
        <s v="躲闪灵敏"/>
        <s v="拍球"/>
        <s v="连续跳绳"/>
        <s v="抓杠悬垂"/>
        <s v="挥臂向前投掷"/>
        <s v="连续行进跳"/>
        <s v="定向快跑"/>
        <s v="远足步行"/>
        <s v="使用餐具"/>
        <s v="使用画笔"/>
        <s v="使用剪刀"/>
        <s v="使用材料与工具"/>
        <s v="作息起居"/>
        <s v="饮食习惯"/>
        <s v="饮水习惯"/>
        <s v="盥洗习惯"/>
        <s v="穿脱衣物"/>
        <s v="如厕习惯"/>
        <s v="安全规则与意识"/>
        <s v="隐私保护"/>
        <s v="游戏运动安全"/>
        <s v="调节运动量"/>
        <s v="走失会处理"/>
        <s v="保护五官"/>
        <s v="逃生技能"/>
        <s v="倾听有意识"/>
        <s v="爱提问题"/>
        <s v="专注抗干扰"/>
        <s v="坚持不放弃"/>
        <s v="回应有意愿"/>
        <s v="音量语气恰当"/>
        <s v="说话有礼貌"/>
        <s v="遵守秩序"/>
        <s v="爱护物品"/>
        <s v="勇于认错"/>
        <s v="节约资源"/>
        <s v="物品自己理"/>
        <s v="了解我身体"/>
        <s v="我有我独特"/>
        <s v="情绪表达"/>
        <s v="想法可不同"/>
        <s v="活动能自主"/>
        <s v="我行我自豪"/>
        <s v="独立不依赖"/>
        <s v="任务能挑战"/>
        <s v="任务有计划"/>
        <s v="愿意交朋友"/>
        <s v="与成人交往"/>
        <s v="与同伴交往"/>
        <s v="冲突解决"/>
        <s v="谦让不受欺"/>
        <s v="礼貌相处"/>
        <s v="关心他人"/>
        <s v="尊重接纳他人"/>
        <s v="尊重劳动成果"/>
        <s v="参与集体生活"/>
        <s v="喜欢集体生活"/>
        <s v="新人际环境"/>
        <s v="集体归属感"/>
        <s v="家乡我自豪"/>
        <s v="祖国我热爱"/>
        <s v="感受多元文化"/>
        <s v="尊重多元文化"/>
        <s v="听懂话语和情境"/>
        <s v="听不懂能提问"/>
        <s v="愿意交流表达"/>
        <s v="发音清晰"/>
        <s v="完整连贯表达"/>
        <s v="清楚表达"/>
        <s v="自主阅读"/>
        <s v="阅读爱互动"/>
        <s v="了解文字符号"/>
        <s v="故事能复述"/>
        <s v="阅读能理解"/>
        <s v="阅读能鉴赏"/>
        <s v="写画意愿"/>
        <s v="写画姿势"/>
        <s v="识写我名字"/>
        <s v="好奇好问好探究"/>
        <s v="观察比较与分析"/>
        <s v="思考猜测并验证"/>
        <s v="收集信息"/>
        <s v="记录形式多样化"/>
        <s v="合作探究与交流"/>
        <s v="探究动植物"/>
        <s v="探究物体材料"/>
        <s v="探究物理现象"/>
        <s v="气候与生活"/>
        <s v="自然与生活"/>
        <s v="科技与生活"/>
        <s v="感知形状和空间"/>
        <s v="感知运用数"/>
        <s v="感知时间"/>
        <s v="量的比较"/>
        <s v="感知数量关系"/>
        <s v="数的表述"/>
        <s v="形状认知"/>
        <s v="空间认知"/>
        <s v="感受视觉美"/>
        <s v="感受听觉美"/>
        <s v="感受景观美"/>
        <s v="表达欣赏感受"/>
        <s v="音乐感兴趣"/>
        <s v="美工感兴趣"/>
      </sharedItems>
    </cacheField>
    <cacheField name="表现行为描述" numFmtId="0">
      <sharedItems count="117">
        <s v="男孩身高110.80-126.50厘米，体重18.00-27.45千克；_x000a_女孩身高110.75-125.30厘米，体重17.50-25.30千克"/>
        <s v="能经常保持良好的站姿、坐姿和走路姿势"/>
        <s v="经常保持愉快、稳定的情绪，能进行自我缓解消极情绪。"/>
        <s v="情绪过激时，能用恰当的方式表达情绪，不随意发脾气。"/>
        <s v="能在较热或较冷的天气坚持活动半小时以上。"/>
        <s v="天气变化或季节交替时较少生病，外出能逐步承受环境、交通工具等带来的身体不适。"/>
        <s v="乐于尝试不同的运动器械和材料，开展不同的身体动作，锻炼身体各部位。"/>
        <s v="能在斜坡、荡桥和有一定间隔的物体上比较平稳地行走一定的距离。"/>
        <s v="能手脚并用、协调平稳地攀爬。"/>
        <s v="能躲避朝自己滚来的球或扔来的沙包等移动物体。"/>
        <s v="能在行进中连续拍球。"/>
        <s v="能连续跳绳至少3个。"/>
        <s v="能双手抓杠，身体悬空下垂20秒左右。"/>
        <s v="能单手挥臂向前投掷5米左右。"/>
        <s v="能单脚连续向前行进跳8米左右。"/>
        <s v="能向指定方向快跑25米左右。"/>
        <s v="远足时能连续步行1500米以上的路程。"/>
        <s v="能熟练使用筷子。"/>
        <s v="能用笔等工具画出线条基本平滑的常见图形。"/>
        <s v="能剪出由直线构成的简单图形，边线吻合和平滑。"/>
        <s v="能使用镊子、订书机、锤子等简单工具。"/>
        <s v="每天能按时起居和午睡，保持11小时左右的睡眠时间。"/>
        <s v="进食时能细嚼慢咽。"/>
        <s v="能主动喝白开水。"/>
        <s v="能每天早晚坚持刷牙，饭前便后洗手，刷牙、洗手的方法基本正确。"/>
        <s v="能根据自己的冷热感受增减衣服"/>
        <s v="能正确使用便纸。"/>
        <s v="能识别危险，并告诉家长或教师。"/>
        <s v="当他人触碰自己身体的隐私部分时，知道逃避和求助。"/>
        <s v="运动和游戏时能不给他人造成危险。"/>
        <s v="运动中知道自我调节运动量，注意休息和放松。"/>
        <s v="知道在走失或遇到紧急情况时能项警察等提供家人的联系电话、家庭住址等，有自我保护的办法。"/>
        <s v="主动保护眼睛，会运用保护眼睛的方法，在提醒下连续看电视不超过30分钟。"/>
        <s v="知道火灾、地震等自然灾害发生时的一些基本逃生方法。"/>
        <s v="能在集体中安静倾听他人讲话。"/>
        <s v="对自己感兴趣的问题，会主动追问和探索。"/>
        <s v="有一定的抗干扰能力，能认真负责地完成自己所接受的任务。"/>
        <s v="遇到困难时能多次尝试，不轻易放弃，直到任务完成。"/>
        <s v="能积极主动地回应别人对自己所说的话。"/>
        <s v="身处不同情境和面对不同对象时，能注意说话的语气及使用恰当的语言。"/>
        <s v="谈话时能按顺序轮流说话，不随意插嘴、打断别人。"/>
        <s v="能遵守社会公共场合的秩序，不大声喧哗，人多时能排队等候。"/>
        <s v="能爱护自己、别人和集体的东西。"/>
        <s v="犯错时勇于承认。"/>
        <s v="爱护环境，能节约粮食、水电、纸等资源。"/>
        <s v="能分类收拾整理好自己使用的物品。"/>
        <s v="能接纳自己的身体特征。"/>
        <s v="能从爱好与兴趣等方面描述自己与他人的不同之处与相同之处。"/>
        <s v="知道引起自己某种情绪的原因，能在提醒下克制自己的冲动。"/>
        <s v="活动中能倾听和接纳同伴与自己不一样的意见，不同意时会表达自己的想法。"/>
        <s v="能主动发起活动，活动中积极表达自己的想法并坚持。"/>
        <s v="做了好事情或取得活动成果后还想做得更好。"/>
        <s v="自己的事情能自己做，愿意学不会做的事情。"/>
        <s v="敢于尝试有一定挑战性的任务，能设法努力完成自己接受的任务。"/>
        <s v="能对自己做的计划、事情和结果进行回忆，做出简单的分析，并与愿意做恰当的调整。"/>
        <s v="有自己的好朋友，还喜欢与新朋友交往。"/>
        <s v="有问题能询问别人，遇到困难能向他人寻求帮助。"/>
        <s v="愿意与大家分享和交流高兴的或有趣的事。"/>
        <s v="能想办法结伴共同游戏，活动中能与同伴分工、合作、协商，一起克服困难，解决矛盾。"/>
        <s v="能谦让比自己幼小和体弱的同伴，也不让别人欺负自己。"/>
        <s v="能有礼貌地与他人相处和交往。"/>
        <s v="能关注他人的情绪和需求，会在他人难过、有困难时表现出关心，并努力给予适当的帮助。"/>
        <s v="能尊重并接纳生活方式和习惯不同的人。"/>
        <s v="能爱护他人的劳动成果，在接受他人服务与帮助时会表示感谢。"/>
        <s v="活动中能与同伴共同协商制定规则。"/>
        <s v="对小学生活充满好奇和向往。"/>
        <s v="面对新伙伴、新老师时，能较快适应新的人际环境，主动参与活动。"/>
        <s v="愿意为集体服务，能为集体取得的成绩而高兴。"/>
        <s v="知道家乡发生的重大变化，并能为此感到高兴。"/>
        <s v="知道自己的民族，知道国家取得的重大成就，为自己是中国人感到自豪。"/>
        <s v="知道中国是一个多民族的大家庭、体验其他民族、国家的简单礼仪、风俗。"/>
        <s v="理解各地区、各民族之间的人是平等的，应该互相尊重、友好相处。"/>
        <s v="能结合情境理解含因果、假设、转折等关系的较复杂的句子。"/>
        <s v="能听懂带有两个以上要求或指令的句子，有疑问时能主动提问。"/>
        <s v="乐于参与讨论问题，能在众人面前表达自己的想法。"/>
        <s v="说普通话及本民族或本地区的语言时，发音正确清晰。"/>
        <s v="能使用连贯、清晰的语言讲述自己的经历和见闻。"/>
        <s v="讲述时能使用常用的形容词、同义词等。能使用表示因果、假设等相对复杂关系的句子，语言较生动。"/>
        <s v="能专注地阅读图书，不受外界干扰。"/>
        <s v="乐意与他人交流讨论图书和故事中的有关内容。"/>
        <s v="对图书和生活中的文字符号感兴趣，了解文字符号表达一定的意义。"/>
        <s v="能说出所阅读的文学作品的主要内容。"/>
        <s v="能根据故事的部分情节或图书画面的线索，续编或创编故事。"/>
        <s v="阅读图书及听故事后能发表自己对作品的看法。"/>
        <s v="能初步感受文学作品中的语言美。"/>
        <s v="能用图画和符号表现事物或故事。"/>
        <s v="画画、书写时姿势正确。"/>
        <s v="能写自己的名字。"/>
        <s v="乐于在动手、动脑中寻求问题的答案，对探索中的发现感到高兴和满足。"/>
        <s v="能在观察、比较与分析的基础上，发现并描述事物的特征或变化，以及事物之间的关系。"/>
        <s v="能用一些简单的方法来验证自己的猜测，并根据结果进行调整。"/>
        <s v="在帮助下，能制定简单的调查计划，并按计划收集信息。"/>
        <s v="能运用数字、图画、图表或其他符号等记录探究过程和结果。"/>
        <s v="能在探究中与同伴合作，并交流自己的发现、问题、观点和结果等。"/>
        <s v="能发现和了解典型动植物的外形特征、习性与其生存环境之间的适应关系。"/>
        <s v="能了解常见物体的结构与功能，发现两者之间的关系。"/>
        <s v="能探索和发现光、影、沉浮、水的形态等简单物理现象产生的条件或影响因素等。"/>
        <s v="能感知并了解四季轮回及变化的顺序。"/>
        <s v="初步了解人类生活和自然环境之间的关系，懂得尊重和珍惜生命,知道保护环境的重要性。"/>
        <s v="知道一些事物具有两面性，汽车、手机、电脑等产品有利也有弊。"/>
        <s v="能感知空间大小与人们活动的关系。"/>
        <s v="能发现生活中简单的排列规律，并尝试创造新的规律。_x000a_能发现生活和游戏中的许多问题可以用计数、排序、分类、测量等数学方法来解决，体验解决问题的乐趣。"/>
        <s v="在活动中感受和理解时间的先后与长短，逐步形成时间意识。"/>
        <s v="能初步感知和理解量的相对性。"/>
        <s v="能借助实际情况和实物操作，理解“加”和“减”所表达的实际意义。"/>
        <s v="能运用实物操作等方法进行10以内的加减运算。"/>
        <s v="能运用简单的记录表，统计图等来表示数量关系。"/>
        <s v="能组合运用常见的几何形体拼搭、制作和画出物体的造型，富有一定的创意。"/>
        <s v="能按指示空间方位的语言或简单图来取放物品，反应正确。"/>
        <s v="能辨别以自己为中心的左右方位。"/>
        <s v="喜欢收集美的物品或向他人介绍自己所发现的美的事物。"/>
        <s v="喜欢关注大自然和生活环境中有特点的声音，能进行模仿并产生相应的联想"/>
        <s v="对自然景色、著名建筑、名胜古迹等景观感兴趣。"/>
        <s v="喜欢参加艺术欣赏活动，能通过表情、动作、语言等表达自己对作品的理解。"/>
        <s v="能和他人分享交流自己喜欢的艺术作品和对作品的体验。"/>
        <s v="积极参加音乐艺术活动，对某类活动形式表现出偏爱。"/>
        <s v="乐于运用多种工具、材料或不同的表现手法来表达观察到的事物和自己的感受与想象。_x000a_积极参加美术艺术活动，对某类活动形式表现出偏爱。"/>
      </sharedItems>
    </cacheField>
    <cacheField name="是否达标" numFmtId="0">
      <sharedItems count="4">
        <s v="符合"/>
        <s v="不符合"/>
        <s v="较符合"/>
        <s v="未测试"/>
      </sharedItems>
    </cacheField>
    <cacheField name="得分" numFmtId="0">
      <sharedItems containsSemiMixedTypes="0" containsString="0" containsNumber="1" minValue="0" maxValue="1" count="3">
        <n v="1"/>
        <n v="0"/>
        <n v="0.5"/>
      </sharedItems>
    </cacheField>
    <cacheField name="备注" numFmtId="0">
      <sharedItems containsBlank="1" count="22">
        <s v="11月身高117cm，体重20kg"/>
        <m/>
        <s v="每次回乡下都要去健身器材锻炼"/>
        <s v="连续2个"/>
        <s v="10s左右"/>
        <s v="扔飞盘可以3米左右"/>
        <s v="9点前睡下，早上7点后起床，每晚10小时睡眠时间"/>
        <s v="能够主动识别并提醒其他小朋友有危险"/>
        <s v="串珠或画画时，故意干扰她，能专注完成"/>
        <s v="遇到有挑战性的困难会寻求大人帮助"/>
        <s v="除非有意犯的错，无意中犯的错都不愿意承认；并且对道歉行为比较抵触"/>
        <s v="会主动提醒家人不要浪费，注意关灯"/>
        <s v="能够较准确表达自己当时的情绪，并讲述希望如何"/>
        <s v="尤其是散步和睡觉前，会默默讲述很多自己的事情"/>
        <s v="会唱国歌，知道国家领导人"/>
        <s v="会使用“假如我乖的话，能不能买xx；所以xxx；竟然”"/>
        <s v="能理解复合句式"/>
        <s v="讲述发生在身边的事情或阅读的故事，流利性和完整性还需要引导"/>
        <s v="更愿意和小朋友讨论"/>
        <s v="之前学过鸟类的嘴型和捕食习惯之间的关系，最近再问已经忘记了"/>
        <s v="“最重要的是钱，最最重要的是生命”"/>
        <s v="有的时候会不确定自己选择对不对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64.4207407407" refreshedBy="haida" recordCount="123">
  <cacheSource type="worksheet">
    <worksheetSource ref="A1:H124" sheet="指标表"/>
  </cacheSource>
  <cacheFields count="8">
    <cacheField name="领域" numFmtId="0">
      <sharedItems count="6">
        <s v="健康与体能"/>
        <s v="习惯与自理"/>
        <s v="自我与社会性"/>
        <s v="语言与交流"/>
        <s v="探究与认知"/>
        <s v="美感与表现"/>
      </sharedItems>
    </cacheField>
    <cacheField name="子领域" numFmtId="0">
      <sharedItems count="14">
        <s v="身心状态"/>
        <s v="动作发展"/>
        <s v="生活习惯和能力"/>
        <s v="学习习惯"/>
        <s v="文明习惯"/>
        <s v="自我意识"/>
        <s v="人际交往"/>
        <s v="社会适应"/>
        <s v="理解与表达"/>
        <s v="前阅读与前书写"/>
        <s v="科学探究"/>
        <s v="数学认知"/>
        <s v="感受与欣赏"/>
        <s v="表现与创造"/>
      </sharedItems>
    </cacheField>
    <cacheField name="目标" numFmtId="0">
      <sharedItems count="36">
        <s v="具有健康的体态"/>
        <s v="情绪安定愉快"/>
        <s v="具有一定的适应能力"/>
        <s v="对运动感兴趣"/>
        <s v="具有一定的平衡能力，动作协调、灵敏"/>
        <s v="具有一定的力量和耐力"/>
        <s v="手的动作灵活、协调"/>
        <s v="具有基本的生活自理能力和良好的生活与卫生习惯"/>
        <s v="具有基本的自我保护能力"/>
        <s v="倾听习惯良好"/>
        <s v="爱提问题"/>
        <s v="做事专注、坚持"/>
        <s v="具有文明的言行举止"/>
        <s v="遵守基本的行为规范"/>
        <s v="知道自己和他人不同，接纳自我"/>
        <s v="具有自尊、自信、自主的表现"/>
        <s v="愿意与人交往，能与同伴友好相处"/>
        <s v="关心和尊重他人"/>
        <s v="喜欢并适应群体生活"/>
        <s v="具有初步的归属感"/>
        <s v="感受和体验多元文化"/>
        <s v="能听懂常用语言"/>
        <s v="愿意用语言进行交流并能清楚地表达"/>
        <s v="喜欢听故事，看图书"/>
        <s v="具有初步的阅读理解能力"/>
        <s v="具有书面表达的愿望和初步技能"/>
        <s v="喜欢探究"/>
        <s v="用一定的方法探究周围感兴趣的事物与现象"/>
        <s v="在探究中认识事物与现象"/>
        <s v="初步感知生活中数学的有用和有趣"/>
        <s v="感知数、量及数量关系"/>
        <s v="感知形状与空间关系"/>
        <s v="感受自然界与生活中美的事物"/>
        <s v="感受多种多样的艺术形式和作品"/>
        <s v="具有艺术表现的兴趣"/>
        <s v="具有初步的艺术表现与创造力"/>
      </sharedItems>
    </cacheField>
    <cacheField name="指标名称" numFmtId="0">
      <sharedItems count="119">
        <s v="身高体重"/>
        <s v="保持坐立行"/>
        <s v="愉快又安定"/>
        <s v="过激情绪能缓和"/>
        <s v="坚持户外活动"/>
        <s v="适应新环境"/>
        <s v="运动感兴趣"/>
        <s v="平稳行走"/>
        <s v="上下肢协调"/>
        <s v="躲闪灵敏"/>
        <s v="拍球"/>
        <s v="连续跳绳"/>
        <s v="抓杠悬垂"/>
        <s v="挥臂向前投掷"/>
        <s v="连续行进跳"/>
        <s v="定向快跑"/>
        <s v="远足步行"/>
        <s v="使用餐具"/>
        <s v="使用画笔"/>
        <s v="使用剪刀"/>
        <s v="使用材料与工具"/>
        <s v="作息起居"/>
        <s v="饮食习惯"/>
        <s v="饮水习惯"/>
        <s v="盥洗习惯"/>
        <s v="穿脱衣物"/>
        <s v="如厕习惯"/>
        <s v="安全规则与意识"/>
        <s v="隐私保护"/>
        <s v="游戏运动安全"/>
        <s v="调节运动量"/>
        <s v="走失会处理"/>
        <s v="保护五官"/>
        <s v="逃生技能"/>
        <s v="倾听有意识"/>
        <s v="爱提问题"/>
        <s v="专注抗干扰"/>
        <s v="坚持不放弃"/>
        <s v="回应有意愿"/>
        <s v="音量语气恰当"/>
        <s v="说话有礼貌"/>
        <s v="遵守秩序"/>
        <s v="爱护物品"/>
        <s v="勇于认错"/>
        <s v="节约资源"/>
        <s v="物品自己理"/>
        <s v="了解我身体"/>
        <s v="我有我独特"/>
        <s v="情绪表达"/>
        <s v="想法可不同"/>
        <s v="活动能自主"/>
        <s v="我行我自豪"/>
        <s v="独立不依赖"/>
        <s v="任务能挑战"/>
        <s v="任务有计划"/>
        <s v="愿意交朋友"/>
        <s v="与成人交往"/>
        <s v="与同伴交往"/>
        <s v="冲突解决"/>
        <s v="谦让不受欺"/>
        <s v="礼貌相处"/>
        <s v="关心他人"/>
        <s v="尊重接纳他人"/>
        <s v="尊重劳动成果"/>
        <s v="参与集体生活"/>
        <s v="喜欢集体生活"/>
        <s v="新人际环境"/>
        <s v="集体归属感"/>
        <s v="家乡我自豪"/>
        <s v="祖国我热爱"/>
        <s v="感受多元文化"/>
        <s v="尊重多元文化"/>
        <s v="听懂话语和情境"/>
        <s v="听不懂能提问"/>
        <s v="愿意交流表达"/>
        <s v="发音清晰"/>
        <s v="完整连贯表达"/>
        <s v="清楚表达"/>
        <s v="自主阅读"/>
        <s v="阅读爱互动"/>
        <s v="了解文字符号"/>
        <s v="故事能复述"/>
        <s v="阅读能理解"/>
        <s v="阅读能鉴赏"/>
        <s v="写画意愿"/>
        <s v="写画姿势"/>
        <s v="识写我名字"/>
        <s v="好奇好问好探究"/>
        <s v="观察比较与分析"/>
        <s v="思考猜测并验证"/>
        <s v="收集信息"/>
        <s v="记录形式多样化"/>
        <s v="合作探究与交流"/>
        <s v="探究动植物"/>
        <s v="探究物体材料"/>
        <s v="探究物理现象"/>
        <s v="气候与生活"/>
        <s v="自然与生活"/>
        <s v="科技与生活"/>
        <s v="感知形状和空间"/>
        <s v="感知运用数"/>
        <s v="感知时间"/>
        <s v="量的比较"/>
        <s v="感知数量关系"/>
        <s v="数的表述"/>
        <s v="形状认知"/>
        <s v="空间认知"/>
        <s v="感受视觉美"/>
        <s v="感受听觉美"/>
        <s v="感受景观美"/>
        <s v="表达欣赏感受"/>
        <s v="音乐感兴趣"/>
        <s v="美工感兴趣"/>
        <s v="自主又合作"/>
        <s v="歌唱表现"/>
        <s v="律动表现"/>
        <s v="表演表现"/>
        <s v="美术表现"/>
        <s v="艺术作品运用"/>
      </sharedItems>
    </cacheField>
    <cacheField name="表现行为描述" numFmtId="0">
      <sharedItems count="123">
        <s v="男孩身高110.80-126.50厘米，体重18.00-27.45千克；_x000a_女孩身高110.75-125.30厘米，体重17.50-25.30千克"/>
        <s v="能经常保持良好的站姿、坐姿和走路姿势"/>
        <s v="经常保持愉快、稳定的情绪，能进行自我缓解消极情绪。"/>
        <s v="情绪过激时，能用恰当的方式表达情绪，不随意发脾气。"/>
        <s v="能在较热或较冷的天气坚持活动半小时以上。"/>
        <s v="天气变化或季节交替时较少生病，外出能逐步承受环境、交通工具等带来的身体不适。"/>
        <s v="乐于尝试不同的运动器械和材料，开展不同的身体动作，锻炼身体各部位。"/>
        <s v="能在斜坡、荡桥和有一定间隔的物体上比较平稳地行走一定的距离。"/>
        <s v="能手脚并用、协调平稳地攀爬。"/>
        <s v="能躲避朝自己滚来的球或扔来的沙包等移动物体。"/>
        <s v="能在行进中连续拍球。"/>
        <s v="能连续跳绳至少3个。"/>
        <s v="能双手抓杠，身体悬空下垂20秒左右。"/>
        <s v="能单手挥臂向前投掷5米左右。"/>
        <s v="能单脚连续向前行进跳8米左右。"/>
        <s v="能向指定方向快跑25米左右。"/>
        <s v="远足时能连续步行1500米以上的路程。"/>
        <s v="能熟练使用筷子。"/>
        <s v="能用笔等工具画出线条基本平滑的常见图形。"/>
        <s v="能剪出由直线构成的简单图形，边线吻合和平滑。"/>
        <s v="能使用镊子、订书机、锤子等简单工具。"/>
        <s v="每天能按时起居和午睡，保持11小时左右的睡眠时间。"/>
        <s v="进食时能细嚼慢咽。"/>
        <s v="能主动喝白开水。"/>
        <s v="能每天早晚坚持刷牙，饭前便后洗手，刷牙、洗手的方法基本正确。"/>
        <s v="能根据自己的冷热感受增减衣服"/>
        <s v="能正确使用便纸。"/>
        <s v="能识别危险，并告诉家长或教师。"/>
        <s v="当他人触碰自己身体的隐私部分时，知道逃避和求助。"/>
        <s v="运动和游戏时能不给他人造成危险。"/>
        <s v="运动中知道自我调节运动量，注意休息和放松。"/>
        <s v="知道在走失或遇到紧急情况时能项警察等提供家人的联系电话、家庭住址等，有自我保护的办法。"/>
        <s v="主动保护眼睛，会运用保护眼睛的方法，在提醒下连续看电视不超过30分钟。"/>
        <s v="知道火灾、地震等自然灾害发生时的一些基本逃生方法。"/>
        <s v="能在集体中安静倾听他人讲话。"/>
        <s v="对自己感兴趣的问题，会主动追问和探索。"/>
        <s v="有一定的抗干扰能力，能认真负责地完成自己所接受的任务。"/>
        <s v="遇到困难时能多次尝试，不轻易放弃，直到任务完成。"/>
        <s v="能积极主动地回应别人对自己所说的话。"/>
        <s v="身处不同情境和面对不同对象时，能注意说话的语气及使用恰当的语言。"/>
        <s v="谈话时能按顺序轮流说话，不随意插嘴、打断别人。"/>
        <s v="能遵守社会公共场合的秩序，不大声喧哗，人多时能排队等候。"/>
        <s v="能爱护自己、别人和集体的东西。"/>
        <s v="犯错时勇于承认。"/>
        <s v="爱护环境，能节约粮食、水电、纸等资源。"/>
        <s v="能分类收拾整理好自己使用的物品。"/>
        <s v="能接纳自己的身体特征。"/>
        <s v="能从爱好与兴趣等方面描述自己与他人的不同之处与相同之处。"/>
        <s v="知道引起自己某种情绪的原因，能在提醒下克制自己的冲动。"/>
        <s v="活动中能倾听和接纳同伴与自己不一样的意见，不同意时会表达自己的想法。"/>
        <s v="能主动发起活动，活动中积极表达自己的想法并坚持。"/>
        <s v="做了好事情或取得活动成果后还想做得更好。"/>
        <s v="自己的事情能自己做，愿意学不会做的事情。"/>
        <s v="敢于尝试有一定挑战性的任务，能设法努力完成自己接受的任务。"/>
        <s v="能对自己做的计划、事情和结果进行回忆，做出简单的分析，并与愿意做恰当的调整。"/>
        <s v="有自己的好朋友，还喜欢与新朋友交往。"/>
        <s v="有问题能询问别人，遇到困难能向他人寻求帮助。"/>
        <s v="愿意与大家分享和交流高兴的或有趣的事。"/>
        <s v="能想办法结伴共同游戏，活动中能与同伴分工、合作、协商，一起克服困难，解决矛盾。"/>
        <s v="能谦让比自己幼小和体弱的同伴，也不让别人欺负自己。"/>
        <s v="能有礼貌地与他人相处和交往。"/>
        <s v="能关注他人的情绪和需求，会在他人难过、有困难时表现出关心，并努力给予适当的帮助。"/>
        <s v="能尊重并接纳生活方式和习惯不同的人。"/>
        <s v="能爱护他人的劳动成果，在接受他人服务与帮助时会表示感谢。"/>
        <s v="活动中能与同伴共同协商制定规则。"/>
        <s v="对小学生活充满好奇和向往。"/>
        <s v="面对新伙伴、新老师时，能较快适应新的人际环境，主动参与活动。"/>
        <s v="愿意为集体服务，能为集体取得的成绩而高兴。"/>
        <s v="知道家乡发生的重大变化，并能为此感到高兴。"/>
        <s v="知道自己的民族，知道国家取得的重大成就，为自己是中国人感到自豪。"/>
        <s v="知道中国是一个多民族的大家庭、体验其他民族、国家的简单礼仪、风俗。"/>
        <s v="理解各地区、各民族之间的人是平等的，应该互相尊重、友好相处。"/>
        <s v="能结合情境理解含因果、假设、转折等关系的较复杂的句子。"/>
        <s v="能听懂带有两个以上要求或指令的句子，有疑问时能主动提问。"/>
        <s v="乐于参与讨论问题，能在众人面前表达自己的想法。"/>
        <s v="说普通话及本民族或本地区的语言时，发音正确清晰。"/>
        <s v="能使用连贯、清晰的语言讲述自己的经历和见闻。"/>
        <s v="讲述时能使用常用的形容词、同义词等。能使用表示因果、假设等相对复杂关系的句子，语言较生动。"/>
        <s v="能专注地阅读图书，不受外界干扰。"/>
        <s v="乐意与他人交流讨论图书和故事中的有关内容。"/>
        <s v="对图书和生活中的文字符号感兴趣，了解文字符号表达一定的意义。"/>
        <s v="能说出所阅读的文学作品的主要内容。"/>
        <s v="能根据故事的部分情节或图书画面的线索，续编或创编故事。"/>
        <s v="阅读图书及听故事后能发表自己对作品的看法。"/>
        <s v="能初步感受文学作品中的语言美。"/>
        <s v="能用图画和符号表现事物或故事。"/>
        <s v="画画、书写时姿势正确。"/>
        <s v="能写自己的名字。"/>
        <s v="乐于在动手、动脑中寻求问题的答案，对探索中的发现感到高兴和满足。"/>
        <s v="能在观察、比较与分析的基础上，发现并描述事物的特征或变化，以及事物之间的关系。"/>
        <s v="能用一些简单的方法来验证自己的猜测，并根据结果进行调整。"/>
        <s v="在帮助下，能制定简单的调查计划，并按计划收集信息。"/>
        <s v="能运用数字、图画、图表或其他符号等记录探究过程和结果。"/>
        <s v="能在探究中与同伴合作，并交流自己的发现、问题、观点和结果等。"/>
        <s v="能发现和了解典型动植物的外形特征、习性与其生存环境之间的适应关系。"/>
        <s v="能了解常见物体的结构与功能，发现两者之间的关系。"/>
        <s v="能探索和发现光、影、沉浮、水的形态等简单物理现象产生的条件或影响因素等。"/>
        <s v="能感知并了解四季轮回及变化的顺序。"/>
        <s v="初步了解人类生活和自然环境之间的关系，懂得尊重和珍惜生命,知道保护环境的重要性。"/>
        <s v="知道一些事物具有两面性，汽车、手机、电脑等产品有利也有弊。"/>
        <s v="能感知空间大小与人们活动的关系。"/>
        <s v="能发现生活中简单的排列规律，并尝试创造新的规律。_x000a_能发现生活和游戏中的许多问题可以用计数、排序、分类、测量等数学方法来解决，体验解决问题的乐趣。"/>
        <s v="在活动中感受和理解时间的先后与长短，逐步形成时间意识。"/>
        <s v="能初步感知和理解量的相对性。"/>
        <s v="能借助实际情况和实物操作，理解“加”和“减”所表达的实际意义。"/>
        <s v="能运用实物操作等方法进行10以内的加减运算。"/>
        <s v="能运用简单的记录表，统计图等来表示数量关系。"/>
        <s v="能组合运用常见的几何形体拼搭、制作和画出物体的造型，富有一定的创意。"/>
        <s v="能按指示空间方位的语言或简单图来取放物品，反应正确。"/>
        <s v="能辨别以自己为中心的左右方位。"/>
        <s v="喜欢收集美的物品或向他人介绍自己所发现的美的事物。"/>
        <s v="喜欢关注大自然和生活环境中有特点的声音，能进行模仿并产生相应的联想"/>
        <s v="对自然景色、著名建筑、名胜古迹等景观感兴趣。"/>
        <s v="喜欢参加艺术欣赏活动，能通过表情、动作、语言等表达自己对作品的理解。"/>
        <s v="能和他人分享交流自己喜欢的艺术作品和对作品的体验。"/>
        <s v="积极参加音乐艺术活动，对某类活动形式表现出偏爱。"/>
        <s v="乐于运用多种工具、材料或不同的表现手法来表达观察到的事物和自己的感受与想象。_x000a_积极参加美术艺术活动，对某类活动形式表现出偏爱。"/>
        <s v="艺术活动中能独立表现，也能与同伴合作表现。"/>
        <s v="能运用基本准确的音调和节奏唱歌。"/>
        <s v="能通过律动或简单的舞蹈动作表达自己的情绪或表现自然界的情景。"/>
        <s v="能创编和表演故事，并根据表演的需要选配、制作简单的服饰、道具或布置场景。"/>
        <s v="能运用较丰富的色彩、线条、形状以及材质等表现自己观察到的或想象的事物及感受。"/>
        <s v="能运用自己制作的艺术作品布置环境、装扮自己和美化生活。"/>
      </sharedItems>
    </cacheField>
    <cacheField name="是否达标" numFmtId="0">
      <sharedItems count="4">
        <s v="符合"/>
        <s v="不符合"/>
        <s v="较符合"/>
        <s v="未测试"/>
      </sharedItems>
    </cacheField>
    <cacheField name="得分" numFmtId="0">
      <sharedItems containsSemiMixedTypes="0" containsString="0" containsNumber="1" minValue="0" maxValue="1" count="3">
        <n v="1"/>
        <n v="0"/>
        <n v="0.5"/>
      </sharedItems>
    </cacheField>
    <cacheField name="备注" numFmtId="0">
      <sharedItems containsBlank="1" count="24">
        <s v="11月身高117cm，体重20kg"/>
        <m/>
        <s v="每次回乡下都要去健身器材锻炼"/>
        <s v="连续2个"/>
        <s v="10s左右"/>
        <s v="扔飞盘可以3米左右"/>
        <s v="9点前睡下，早上7点后起床，每晚10小时睡眠时间"/>
        <s v="能够主动识别并提醒其他小朋友有危险"/>
        <s v="串珠或画画时，故意干扰她，能专注完成"/>
        <s v="遇到有挑战性的困难会寻求大人帮助"/>
        <s v="除非有意犯的错，无意中犯的错都不愿意承认；并且对道歉行为比较抵触"/>
        <s v="会主动提醒家人不要浪费，注意关灯"/>
        <s v="能够较准确表达自己当时的情绪，并讲述希望如何"/>
        <s v="尤其是散步和睡觉前，会默默讲述很多自己的事情"/>
        <s v="会唱国歌，知道国家领导人"/>
        <s v="会使用“假如我乖的话，能不能买xx；所以xxx；竟然”"/>
        <s v="能理解复合句式"/>
        <s v="讲述发生在身边的事情或阅读的故事，流利性和完整性还需要引导"/>
        <s v="更愿意和小朋友讨论"/>
        <s v="之前学过鸟类的嘴型和捕食习惯之间的关系，最近再问已经忘记了"/>
        <s v="“最重要的是钱，最最重要的是生命”"/>
        <s v="有的时候会不确定自己选择对不对"/>
        <s v="热衷于扮演艾莎公主"/>
        <s v="擅长使用贴纸装扮环境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">
  <r>
    <x v="0"/>
    <x v="0"/>
    <x v="0"/>
    <x v="0"/>
    <x v="0"/>
    <x v="0"/>
    <x v="0"/>
    <x v="0"/>
  </r>
  <r>
    <x v="0"/>
    <x v="0"/>
    <x v="0"/>
    <x v="1"/>
    <x v="1"/>
    <x v="0"/>
    <x v="0"/>
    <x v="1"/>
  </r>
  <r>
    <x v="0"/>
    <x v="0"/>
    <x v="1"/>
    <x v="2"/>
    <x v="2"/>
    <x v="0"/>
    <x v="0"/>
    <x v="1"/>
  </r>
  <r>
    <x v="0"/>
    <x v="0"/>
    <x v="1"/>
    <x v="3"/>
    <x v="3"/>
    <x v="0"/>
    <x v="0"/>
    <x v="1"/>
  </r>
  <r>
    <x v="0"/>
    <x v="0"/>
    <x v="2"/>
    <x v="4"/>
    <x v="4"/>
    <x v="0"/>
    <x v="0"/>
    <x v="1"/>
  </r>
  <r>
    <x v="0"/>
    <x v="0"/>
    <x v="2"/>
    <x v="5"/>
    <x v="5"/>
    <x v="0"/>
    <x v="0"/>
    <x v="1"/>
  </r>
  <r>
    <x v="0"/>
    <x v="1"/>
    <x v="3"/>
    <x v="6"/>
    <x v="6"/>
    <x v="0"/>
    <x v="0"/>
    <x v="2"/>
  </r>
  <r>
    <x v="0"/>
    <x v="1"/>
    <x v="4"/>
    <x v="7"/>
    <x v="7"/>
    <x v="0"/>
    <x v="0"/>
    <x v="1"/>
  </r>
  <r>
    <x v="0"/>
    <x v="1"/>
    <x v="4"/>
    <x v="8"/>
    <x v="8"/>
    <x v="0"/>
    <x v="0"/>
    <x v="1"/>
  </r>
  <r>
    <x v="0"/>
    <x v="1"/>
    <x v="4"/>
    <x v="9"/>
    <x v="9"/>
    <x v="0"/>
    <x v="0"/>
    <x v="1"/>
  </r>
  <r>
    <x v="0"/>
    <x v="1"/>
    <x v="4"/>
    <x v="10"/>
    <x v="10"/>
    <x v="1"/>
    <x v="1"/>
    <x v="1"/>
  </r>
  <r>
    <x v="0"/>
    <x v="1"/>
    <x v="4"/>
    <x v="11"/>
    <x v="11"/>
    <x v="1"/>
    <x v="1"/>
    <x v="3"/>
  </r>
  <r>
    <x v="0"/>
    <x v="1"/>
    <x v="5"/>
    <x v="12"/>
    <x v="12"/>
    <x v="1"/>
    <x v="1"/>
    <x v="4"/>
  </r>
  <r>
    <x v="0"/>
    <x v="1"/>
    <x v="5"/>
    <x v="13"/>
    <x v="13"/>
    <x v="2"/>
    <x v="2"/>
    <x v="5"/>
  </r>
  <r>
    <x v="0"/>
    <x v="1"/>
    <x v="5"/>
    <x v="14"/>
    <x v="14"/>
    <x v="1"/>
    <x v="1"/>
    <x v="1"/>
  </r>
  <r>
    <x v="0"/>
    <x v="1"/>
    <x v="5"/>
    <x v="15"/>
    <x v="15"/>
    <x v="0"/>
    <x v="0"/>
    <x v="1"/>
  </r>
  <r>
    <x v="0"/>
    <x v="1"/>
    <x v="5"/>
    <x v="16"/>
    <x v="16"/>
    <x v="3"/>
    <x v="2"/>
    <x v="1"/>
  </r>
  <r>
    <x v="0"/>
    <x v="1"/>
    <x v="6"/>
    <x v="17"/>
    <x v="17"/>
    <x v="0"/>
    <x v="0"/>
    <x v="1"/>
  </r>
  <r>
    <x v="0"/>
    <x v="1"/>
    <x v="6"/>
    <x v="18"/>
    <x v="18"/>
    <x v="0"/>
    <x v="0"/>
    <x v="1"/>
  </r>
  <r>
    <x v="0"/>
    <x v="1"/>
    <x v="6"/>
    <x v="19"/>
    <x v="19"/>
    <x v="0"/>
    <x v="0"/>
    <x v="1"/>
  </r>
  <r>
    <x v="0"/>
    <x v="1"/>
    <x v="6"/>
    <x v="20"/>
    <x v="20"/>
    <x v="0"/>
    <x v="0"/>
    <x v="1"/>
  </r>
  <r>
    <x v="1"/>
    <x v="2"/>
    <x v="7"/>
    <x v="21"/>
    <x v="21"/>
    <x v="2"/>
    <x v="2"/>
    <x v="6"/>
  </r>
  <r>
    <x v="1"/>
    <x v="2"/>
    <x v="7"/>
    <x v="22"/>
    <x v="22"/>
    <x v="0"/>
    <x v="0"/>
    <x v="1"/>
  </r>
  <r>
    <x v="1"/>
    <x v="2"/>
    <x v="7"/>
    <x v="23"/>
    <x v="23"/>
    <x v="0"/>
    <x v="0"/>
    <x v="1"/>
  </r>
  <r>
    <x v="1"/>
    <x v="2"/>
    <x v="7"/>
    <x v="24"/>
    <x v="24"/>
    <x v="0"/>
    <x v="0"/>
    <x v="1"/>
  </r>
  <r>
    <x v="1"/>
    <x v="2"/>
    <x v="7"/>
    <x v="25"/>
    <x v="25"/>
    <x v="0"/>
    <x v="0"/>
    <x v="1"/>
  </r>
  <r>
    <x v="1"/>
    <x v="2"/>
    <x v="7"/>
    <x v="26"/>
    <x v="26"/>
    <x v="0"/>
    <x v="0"/>
    <x v="1"/>
  </r>
  <r>
    <x v="1"/>
    <x v="2"/>
    <x v="8"/>
    <x v="27"/>
    <x v="27"/>
    <x v="0"/>
    <x v="0"/>
    <x v="1"/>
  </r>
  <r>
    <x v="1"/>
    <x v="2"/>
    <x v="8"/>
    <x v="28"/>
    <x v="28"/>
    <x v="0"/>
    <x v="0"/>
    <x v="1"/>
  </r>
  <r>
    <x v="1"/>
    <x v="2"/>
    <x v="8"/>
    <x v="29"/>
    <x v="29"/>
    <x v="0"/>
    <x v="0"/>
    <x v="7"/>
  </r>
  <r>
    <x v="1"/>
    <x v="2"/>
    <x v="8"/>
    <x v="30"/>
    <x v="30"/>
    <x v="0"/>
    <x v="0"/>
    <x v="1"/>
  </r>
  <r>
    <x v="1"/>
    <x v="2"/>
    <x v="8"/>
    <x v="31"/>
    <x v="31"/>
    <x v="0"/>
    <x v="0"/>
    <x v="1"/>
  </r>
  <r>
    <x v="1"/>
    <x v="2"/>
    <x v="8"/>
    <x v="32"/>
    <x v="32"/>
    <x v="0"/>
    <x v="0"/>
    <x v="1"/>
  </r>
  <r>
    <x v="1"/>
    <x v="2"/>
    <x v="8"/>
    <x v="33"/>
    <x v="33"/>
    <x v="0"/>
    <x v="0"/>
    <x v="1"/>
  </r>
  <r>
    <x v="1"/>
    <x v="3"/>
    <x v="9"/>
    <x v="34"/>
    <x v="34"/>
    <x v="0"/>
    <x v="0"/>
    <x v="1"/>
  </r>
  <r>
    <x v="1"/>
    <x v="3"/>
    <x v="10"/>
    <x v="35"/>
    <x v="35"/>
    <x v="0"/>
    <x v="0"/>
    <x v="1"/>
  </r>
  <r>
    <x v="1"/>
    <x v="3"/>
    <x v="11"/>
    <x v="36"/>
    <x v="36"/>
    <x v="0"/>
    <x v="0"/>
    <x v="8"/>
  </r>
  <r>
    <x v="1"/>
    <x v="3"/>
    <x v="11"/>
    <x v="37"/>
    <x v="37"/>
    <x v="2"/>
    <x v="2"/>
    <x v="9"/>
  </r>
  <r>
    <x v="1"/>
    <x v="4"/>
    <x v="12"/>
    <x v="38"/>
    <x v="38"/>
    <x v="0"/>
    <x v="0"/>
    <x v="1"/>
  </r>
  <r>
    <x v="1"/>
    <x v="4"/>
    <x v="12"/>
    <x v="39"/>
    <x v="39"/>
    <x v="0"/>
    <x v="0"/>
    <x v="1"/>
  </r>
  <r>
    <x v="1"/>
    <x v="4"/>
    <x v="12"/>
    <x v="40"/>
    <x v="40"/>
    <x v="2"/>
    <x v="2"/>
    <x v="1"/>
  </r>
  <r>
    <x v="1"/>
    <x v="4"/>
    <x v="13"/>
    <x v="41"/>
    <x v="41"/>
    <x v="0"/>
    <x v="0"/>
    <x v="1"/>
  </r>
  <r>
    <x v="1"/>
    <x v="4"/>
    <x v="13"/>
    <x v="42"/>
    <x v="42"/>
    <x v="0"/>
    <x v="0"/>
    <x v="1"/>
  </r>
  <r>
    <x v="1"/>
    <x v="4"/>
    <x v="13"/>
    <x v="43"/>
    <x v="43"/>
    <x v="2"/>
    <x v="2"/>
    <x v="10"/>
  </r>
  <r>
    <x v="1"/>
    <x v="4"/>
    <x v="13"/>
    <x v="44"/>
    <x v="44"/>
    <x v="0"/>
    <x v="0"/>
    <x v="11"/>
  </r>
  <r>
    <x v="1"/>
    <x v="4"/>
    <x v="13"/>
    <x v="45"/>
    <x v="45"/>
    <x v="1"/>
    <x v="1"/>
    <x v="1"/>
  </r>
  <r>
    <x v="2"/>
    <x v="5"/>
    <x v="14"/>
    <x v="46"/>
    <x v="46"/>
    <x v="0"/>
    <x v="0"/>
    <x v="1"/>
  </r>
  <r>
    <x v="2"/>
    <x v="5"/>
    <x v="14"/>
    <x v="47"/>
    <x v="47"/>
    <x v="0"/>
    <x v="0"/>
    <x v="1"/>
  </r>
  <r>
    <x v="2"/>
    <x v="5"/>
    <x v="14"/>
    <x v="48"/>
    <x v="48"/>
    <x v="0"/>
    <x v="0"/>
    <x v="12"/>
  </r>
  <r>
    <x v="2"/>
    <x v="5"/>
    <x v="14"/>
    <x v="49"/>
    <x v="49"/>
    <x v="0"/>
    <x v="0"/>
    <x v="1"/>
  </r>
  <r>
    <x v="2"/>
    <x v="5"/>
    <x v="15"/>
    <x v="50"/>
    <x v="50"/>
    <x v="0"/>
    <x v="0"/>
    <x v="1"/>
  </r>
  <r>
    <x v="2"/>
    <x v="5"/>
    <x v="15"/>
    <x v="51"/>
    <x v="51"/>
    <x v="0"/>
    <x v="0"/>
    <x v="1"/>
  </r>
  <r>
    <x v="2"/>
    <x v="5"/>
    <x v="15"/>
    <x v="52"/>
    <x v="52"/>
    <x v="0"/>
    <x v="0"/>
    <x v="1"/>
  </r>
  <r>
    <x v="2"/>
    <x v="5"/>
    <x v="15"/>
    <x v="53"/>
    <x v="53"/>
    <x v="2"/>
    <x v="2"/>
    <x v="1"/>
  </r>
  <r>
    <x v="2"/>
    <x v="5"/>
    <x v="15"/>
    <x v="54"/>
    <x v="54"/>
    <x v="0"/>
    <x v="0"/>
    <x v="1"/>
  </r>
  <r>
    <x v="2"/>
    <x v="6"/>
    <x v="16"/>
    <x v="55"/>
    <x v="55"/>
    <x v="0"/>
    <x v="0"/>
    <x v="1"/>
  </r>
  <r>
    <x v="2"/>
    <x v="6"/>
    <x v="16"/>
    <x v="56"/>
    <x v="56"/>
    <x v="0"/>
    <x v="0"/>
    <x v="1"/>
  </r>
  <r>
    <x v="2"/>
    <x v="6"/>
    <x v="16"/>
    <x v="57"/>
    <x v="57"/>
    <x v="0"/>
    <x v="0"/>
    <x v="13"/>
  </r>
  <r>
    <x v="2"/>
    <x v="6"/>
    <x v="16"/>
    <x v="58"/>
    <x v="58"/>
    <x v="0"/>
    <x v="0"/>
    <x v="1"/>
  </r>
  <r>
    <x v="2"/>
    <x v="6"/>
    <x v="16"/>
    <x v="59"/>
    <x v="59"/>
    <x v="0"/>
    <x v="0"/>
    <x v="1"/>
  </r>
  <r>
    <x v="2"/>
    <x v="6"/>
    <x v="17"/>
    <x v="60"/>
    <x v="60"/>
    <x v="0"/>
    <x v="0"/>
    <x v="1"/>
  </r>
  <r>
    <x v="2"/>
    <x v="6"/>
    <x v="17"/>
    <x v="61"/>
    <x v="61"/>
    <x v="0"/>
    <x v="0"/>
    <x v="1"/>
  </r>
  <r>
    <x v="2"/>
    <x v="6"/>
    <x v="17"/>
    <x v="62"/>
    <x v="62"/>
    <x v="0"/>
    <x v="0"/>
    <x v="1"/>
  </r>
  <r>
    <x v="2"/>
    <x v="6"/>
    <x v="17"/>
    <x v="63"/>
    <x v="63"/>
    <x v="0"/>
    <x v="0"/>
    <x v="1"/>
  </r>
  <r>
    <x v="2"/>
    <x v="7"/>
    <x v="18"/>
    <x v="64"/>
    <x v="64"/>
    <x v="0"/>
    <x v="0"/>
    <x v="1"/>
  </r>
  <r>
    <x v="2"/>
    <x v="7"/>
    <x v="18"/>
    <x v="65"/>
    <x v="65"/>
    <x v="0"/>
    <x v="0"/>
    <x v="1"/>
  </r>
  <r>
    <x v="2"/>
    <x v="7"/>
    <x v="18"/>
    <x v="66"/>
    <x v="66"/>
    <x v="0"/>
    <x v="0"/>
    <x v="1"/>
  </r>
  <r>
    <x v="2"/>
    <x v="7"/>
    <x v="19"/>
    <x v="67"/>
    <x v="67"/>
    <x v="0"/>
    <x v="0"/>
    <x v="1"/>
  </r>
  <r>
    <x v="2"/>
    <x v="7"/>
    <x v="19"/>
    <x v="68"/>
    <x v="68"/>
    <x v="0"/>
    <x v="0"/>
    <x v="1"/>
  </r>
  <r>
    <x v="2"/>
    <x v="7"/>
    <x v="19"/>
    <x v="69"/>
    <x v="69"/>
    <x v="0"/>
    <x v="0"/>
    <x v="14"/>
  </r>
  <r>
    <x v="2"/>
    <x v="7"/>
    <x v="20"/>
    <x v="70"/>
    <x v="70"/>
    <x v="0"/>
    <x v="0"/>
    <x v="1"/>
  </r>
  <r>
    <x v="2"/>
    <x v="7"/>
    <x v="20"/>
    <x v="71"/>
    <x v="71"/>
    <x v="0"/>
    <x v="0"/>
    <x v="1"/>
  </r>
  <r>
    <x v="3"/>
    <x v="8"/>
    <x v="21"/>
    <x v="72"/>
    <x v="72"/>
    <x v="0"/>
    <x v="0"/>
    <x v="15"/>
  </r>
  <r>
    <x v="3"/>
    <x v="8"/>
    <x v="21"/>
    <x v="73"/>
    <x v="73"/>
    <x v="0"/>
    <x v="0"/>
    <x v="16"/>
  </r>
  <r>
    <x v="3"/>
    <x v="8"/>
    <x v="22"/>
    <x v="74"/>
    <x v="74"/>
    <x v="0"/>
    <x v="0"/>
    <x v="1"/>
  </r>
  <r>
    <x v="3"/>
    <x v="8"/>
    <x v="22"/>
    <x v="75"/>
    <x v="75"/>
    <x v="0"/>
    <x v="0"/>
    <x v="1"/>
  </r>
  <r>
    <x v="3"/>
    <x v="8"/>
    <x v="22"/>
    <x v="76"/>
    <x v="76"/>
    <x v="2"/>
    <x v="2"/>
    <x v="17"/>
  </r>
  <r>
    <x v="3"/>
    <x v="8"/>
    <x v="22"/>
    <x v="77"/>
    <x v="77"/>
    <x v="0"/>
    <x v="0"/>
    <x v="1"/>
  </r>
  <r>
    <x v="3"/>
    <x v="9"/>
    <x v="23"/>
    <x v="78"/>
    <x v="78"/>
    <x v="0"/>
    <x v="0"/>
    <x v="1"/>
  </r>
  <r>
    <x v="3"/>
    <x v="9"/>
    <x v="23"/>
    <x v="79"/>
    <x v="79"/>
    <x v="0"/>
    <x v="0"/>
    <x v="18"/>
  </r>
  <r>
    <x v="3"/>
    <x v="9"/>
    <x v="23"/>
    <x v="80"/>
    <x v="80"/>
    <x v="0"/>
    <x v="0"/>
    <x v="1"/>
  </r>
  <r>
    <x v="3"/>
    <x v="9"/>
    <x v="24"/>
    <x v="81"/>
    <x v="81"/>
    <x v="0"/>
    <x v="0"/>
    <x v="1"/>
  </r>
  <r>
    <x v="3"/>
    <x v="9"/>
    <x v="24"/>
    <x v="82"/>
    <x v="82"/>
    <x v="0"/>
    <x v="0"/>
    <x v="1"/>
  </r>
  <r>
    <x v="3"/>
    <x v="9"/>
    <x v="24"/>
    <x v="83"/>
    <x v="83"/>
    <x v="0"/>
    <x v="0"/>
    <x v="1"/>
  </r>
  <r>
    <x v="3"/>
    <x v="9"/>
    <x v="24"/>
    <x v="83"/>
    <x v="84"/>
    <x v="0"/>
    <x v="0"/>
    <x v="1"/>
  </r>
  <r>
    <x v="3"/>
    <x v="9"/>
    <x v="25"/>
    <x v="84"/>
    <x v="85"/>
    <x v="0"/>
    <x v="0"/>
    <x v="1"/>
  </r>
  <r>
    <x v="3"/>
    <x v="9"/>
    <x v="25"/>
    <x v="85"/>
    <x v="86"/>
    <x v="0"/>
    <x v="0"/>
    <x v="1"/>
  </r>
  <r>
    <x v="3"/>
    <x v="9"/>
    <x v="25"/>
    <x v="86"/>
    <x v="87"/>
    <x v="0"/>
    <x v="0"/>
    <x v="1"/>
  </r>
  <r>
    <x v="4"/>
    <x v="10"/>
    <x v="26"/>
    <x v="87"/>
    <x v="88"/>
    <x v="0"/>
    <x v="0"/>
    <x v="1"/>
  </r>
  <r>
    <x v="4"/>
    <x v="10"/>
    <x v="27"/>
    <x v="88"/>
    <x v="89"/>
    <x v="0"/>
    <x v="0"/>
    <x v="1"/>
  </r>
  <r>
    <x v="4"/>
    <x v="10"/>
    <x v="27"/>
    <x v="89"/>
    <x v="90"/>
    <x v="0"/>
    <x v="0"/>
    <x v="1"/>
  </r>
  <r>
    <x v="4"/>
    <x v="10"/>
    <x v="27"/>
    <x v="90"/>
    <x v="91"/>
    <x v="0"/>
    <x v="0"/>
    <x v="1"/>
  </r>
  <r>
    <x v="4"/>
    <x v="10"/>
    <x v="27"/>
    <x v="91"/>
    <x v="92"/>
    <x v="0"/>
    <x v="0"/>
    <x v="1"/>
  </r>
  <r>
    <x v="4"/>
    <x v="10"/>
    <x v="27"/>
    <x v="92"/>
    <x v="93"/>
    <x v="0"/>
    <x v="0"/>
    <x v="1"/>
  </r>
  <r>
    <x v="4"/>
    <x v="10"/>
    <x v="28"/>
    <x v="93"/>
    <x v="94"/>
    <x v="0"/>
    <x v="0"/>
    <x v="19"/>
  </r>
  <r>
    <x v="4"/>
    <x v="10"/>
    <x v="28"/>
    <x v="94"/>
    <x v="95"/>
    <x v="0"/>
    <x v="0"/>
    <x v="1"/>
  </r>
  <r>
    <x v="4"/>
    <x v="10"/>
    <x v="28"/>
    <x v="95"/>
    <x v="96"/>
    <x v="0"/>
    <x v="0"/>
    <x v="1"/>
  </r>
  <r>
    <x v="4"/>
    <x v="10"/>
    <x v="28"/>
    <x v="96"/>
    <x v="97"/>
    <x v="0"/>
    <x v="0"/>
    <x v="1"/>
  </r>
  <r>
    <x v="4"/>
    <x v="10"/>
    <x v="28"/>
    <x v="97"/>
    <x v="98"/>
    <x v="0"/>
    <x v="0"/>
    <x v="20"/>
  </r>
  <r>
    <x v="4"/>
    <x v="10"/>
    <x v="28"/>
    <x v="98"/>
    <x v="99"/>
    <x v="0"/>
    <x v="0"/>
    <x v="1"/>
  </r>
  <r>
    <x v="4"/>
    <x v="11"/>
    <x v="29"/>
    <x v="99"/>
    <x v="100"/>
    <x v="0"/>
    <x v="0"/>
    <x v="1"/>
  </r>
  <r>
    <x v="4"/>
    <x v="11"/>
    <x v="29"/>
    <x v="100"/>
    <x v="101"/>
    <x v="0"/>
    <x v="0"/>
    <x v="1"/>
  </r>
  <r>
    <x v="4"/>
    <x v="11"/>
    <x v="29"/>
    <x v="101"/>
    <x v="102"/>
    <x v="0"/>
    <x v="0"/>
    <x v="1"/>
  </r>
  <r>
    <x v="4"/>
    <x v="11"/>
    <x v="30"/>
    <x v="102"/>
    <x v="103"/>
    <x v="0"/>
    <x v="0"/>
    <x v="1"/>
  </r>
  <r>
    <x v="4"/>
    <x v="11"/>
    <x v="30"/>
    <x v="103"/>
    <x v="104"/>
    <x v="0"/>
    <x v="0"/>
    <x v="1"/>
  </r>
  <r>
    <x v="4"/>
    <x v="11"/>
    <x v="30"/>
    <x v="103"/>
    <x v="105"/>
    <x v="0"/>
    <x v="0"/>
    <x v="1"/>
  </r>
  <r>
    <x v="4"/>
    <x v="11"/>
    <x v="30"/>
    <x v="104"/>
    <x v="106"/>
    <x v="1"/>
    <x v="1"/>
    <x v="1"/>
  </r>
  <r>
    <x v="4"/>
    <x v="11"/>
    <x v="31"/>
    <x v="105"/>
    <x v="107"/>
    <x v="0"/>
    <x v="0"/>
    <x v="1"/>
  </r>
  <r>
    <x v="4"/>
    <x v="11"/>
    <x v="31"/>
    <x v="106"/>
    <x v="108"/>
    <x v="0"/>
    <x v="0"/>
    <x v="1"/>
  </r>
  <r>
    <x v="4"/>
    <x v="11"/>
    <x v="31"/>
    <x v="106"/>
    <x v="109"/>
    <x v="0"/>
    <x v="0"/>
    <x v="21"/>
  </r>
  <r>
    <x v="5"/>
    <x v="12"/>
    <x v="32"/>
    <x v="107"/>
    <x v="110"/>
    <x v="0"/>
    <x v="0"/>
    <x v="1"/>
  </r>
  <r>
    <x v="5"/>
    <x v="12"/>
    <x v="32"/>
    <x v="108"/>
    <x v="111"/>
    <x v="0"/>
    <x v="0"/>
    <x v="1"/>
  </r>
  <r>
    <x v="5"/>
    <x v="12"/>
    <x v="32"/>
    <x v="109"/>
    <x v="112"/>
    <x v="2"/>
    <x v="2"/>
    <x v="1"/>
  </r>
  <r>
    <x v="5"/>
    <x v="12"/>
    <x v="33"/>
    <x v="110"/>
    <x v="113"/>
    <x v="0"/>
    <x v="0"/>
    <x v="1"/>
  </r>
  <r>
    <x v="5"/>
    <x v="12"/>
    <x v="33"/>
    <x v="110"/>
    <x v="114"/>
    <x v="0"/>
    <x v="0"/>
    <x v="1"/>
  </r>
  <r>
    <x v="5"/>
    <x v="13"/>
    <x v="34"/>
    <x v="111"/>
    <x v="115"/>
    <x v="0"/>
    <x v="0"/>
    <x v="1"/>
  </r>
  <r>
    <x v="5"/>
    <x v="13"/>
    <x v="34"/>
    <x v="112"/>
    <x v="116"/>
    <x v="0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3">
  <r>
    <x v="0"/>
    <x v="0"/>
    <x v="0"/>
    <x v="0"/>
    <x v="0"/>
    <x v="0"/>
    <x v="0"/>
    <x v="0"/>
  </r>
  <r>
    <x v="0"/>
    <x v="0"/>
    <x v="0"/>
    <x v="1"/>
    <x v="1"/>
    <x v="0"/>
    <x v="0"/>
    <x v="1"/>
  </r>
  <r>
    <x v="0"/>
    <x v="0"/>
    <x v="1"/>
    <x v="2"/>
    <x v="2"/>
    <x v="0"/>
    <x v="0"/>
    <x v="1"/>
  </r>
  <r>
    <x v="0"/>
    <x v="0"/>
    <x v="1"/>
    <x v="3"/>
    <x v="3"/>
    <x v="0"/>
    <x v="0"/>
    <x v="1"/>
  </r>
  <r>
    <x v="0"/>
    <x v="0"/>
    <x v="2"/>
    <x v="4"/>
    <x v="4"/>
    <x v="0"/>
    <x v="0"/>
    <x v="1"/>
  </r>
  <r>
    <x v="0"/>
    <x v="0"/>
    <x v="2"/>
    <x v="5"/>
    <x v="5"/>
    <x v="0"/>
    <x v="0"/>
    <x v="1"/>
  </r>
  <r>
    <x v="0"/>
    <x v="1"/>
    <x v="3"/>
    <x v="6"/>
    <x v="6"/>
    <x v="0"/>
    <x v="0"/>
    <x v="2"/>
  </r>
  <r>
    <x v="0"/>
    <x v="1"/>
    <x v="4"/>
    <x v="7"/>
    <x v="7"/>
    <x v="0"/>
    <x v="0"/>
    <x v="1"/>
  </r>
  <r>
    <x v="0"/>
    <x v="1"/>
    <x v="4"/>
    <x v="8"/>
    <x v="8"/>
    <x v="0"/>
    <x v="0"/>
    <x v="1"/>
  </r>
  <r>
    <x v="0"/>
    <x v="1"/>
    <x v="4"/>
    <x v="9"/>
    <x v="9"/>
    <x v="0"/>
    <x v="0"/>
    <x v="1"/>
  </r>
  <r>
    <x v="0"/>
    <x v="1"/>
    <x v="4"/>
    <x v="10"/>
    <x v="10"/>
    <x v="1"/>
    <x v="1"/>
    <x v="1"/>
  </r>
  <r>
    <x v="0"/>
    <x v="1"/>
    <x v="4"/>
    <x v="11"/>
    <x v="11"/>
    <x v="1"/>
    <x v="1"/>
    <x v="3"/>
  </r>
  <r>
    <x v="0"/>
    <x v="1"/>
    <x v="5"/>
    <x v="12"/>
    <x v="12"/>
    <x v="1"/>
    <x v="1"/>
    <x v="4"/>
  </r>
  <r>
    <x v="0"/>
    <x v="1"/>
    <x v="5"/>
    <x v="13"/>
    <x v="13"/>
    <x v="2"/>
    <x v="2"/>
    <x v="5"/>
  </r>
  <r>
    <x v="0"/>
    <x v="1"/>
    <x v="5"/>
    <x v="14"/>
    <x v="14"/>
    <x v="1"/>
    <x v="1"/>
    <x v="1"/>
  </r>
  <r>
    <x v="0"/>
    <x v="1"/>
    <x v="5"/>
    <x v="15"/>
    <x v="15"/>
    <x v="0"/>
    <x v="0"/>
    <x v="1"/>
  </r>
  <r>
    <x v="0"/>
    <x v="1"/>
    <x v="5"/>
    <x v="16"/>
    <x v="16"/>
    <x v="3"/>
    <x v="2"/>
    <x v="1"/>
  </r>
  <r>
    <x v="0"/>
    <x v="1"/>
    <x v="6"/>
    <x v="17"/>
    <x v="17"/>
    <x v="0"/>
    <x v="0"/>
    <x v="1"/>
  </r>
  <r>
    <x v="0"/>
    <x v="1"/>
    <x v="6"/>
    <x v="18"/>
    <x v="18"/>
    <x v="0"/>
    <x v="0"/>
    <x v="1"/>
  </r>
  <r>
    <x v="0"/>
    <x v="1"/>
    <x v="6"/>
    <x v="19"/>
    <x v="19"/>
    <x v="0"/>
    <x v="0"/>
    <x v="1"/>
  </r>
  <r>
    <x v="0"/>
    <x v="1"/>
    <x v="6"/>
    <x v="20"/>
    <x v="20"/>
    <x v="0"/>
    <x v="0"/>
    <x v="1"/>
  </r>
  <r>
    <x v="1"/>
    <x v="2"/>
    <x v="7"/>
    <x v="21"/>
    <x v="21"/>
    <x v="2"/>
    <x v="2"/>
    <x v="6"/>
  </r>
  <r>
    <x v="1"/>
    <x v="2"/>
    <x v="7"/>
    <x v="22"/>
    <x v="22"/>
    <x v="0"/>
    <x v="0"/>
    <x v="1"/>
  </r>
  <r>
    <x v="1"/>
    <x v="2"/>
    <x v="7"/>
    <x v="23"/>
    <x v="23"/>
    <x v="0"/>
    <x v="0"/>
    <x v="1"/>
  </r>
  <r>
    <x v="1"/>
    <x v="2"/>
    <x v="7"/>
    <x v="24"/>
    <x v="24"/>
    <x v="0"/>
    <x v="0"/>
    <x v="1"/>
  </r>
  <r>
    <x v="1"/>
    <x v="2"/>
    <x v="7"/>
    <x v="25"/>
    <x v="25"/>
    <x v="0"/>
    <x v="0"/>
    <x v="1"/>
  </r>
  <r>
    <x v="1"/>
    <x v="2"/>
    <x v="7"/>
    <x v="26"/>
    <x v="26"/>
    <x v="0"/>
    <x v="0"/>
    <x v="1"/>
  </r>
  <r>
    <x v="1"/>
    <x v="2"/>
    <x v="8"/>
    <x v="27"/>
    <x v="27"/>
    <x v="0"/>
    <x v="0"/>
    <x v="1"/>
  </r>
  <r>
    <x v="1"/>
    <x v="2"/>
    <x v="8"/>
    <x v="28"/>
    <x v="28"/>
    <x v="0"/>
    <x v="0"/>
    <x v="1"/>
  </r>
  <r>
    <x v="1"/>
    <x v="2"/>
    <x v="8"/>
    <x v="29"/>
    <x v="29"/>
    <x v="0"/>
    <x v="0"/>
    <x v="7"/>
  </r>
  <r>
    <x v="1"/>
    <x v="2"/>
    <x v="8"/>
    <x v="30"/>
    <x v="30"/>
    <x v="0"/>
    <x v="0"/>
    <x v="1"/>
  </r>
  <r>
    <x v="1"/>
    <x v="2"/>
    <x v="8"/>
    <x v="31"/>
    <x v="31"/>
    <x v="0"/>
    <x v="0"/>
    <x v="1"/>
  </r>
  <r>
    <x v="1"/>
    <x v="2"/>
    <x v="8"/>
    <x v="32"/>
    <x v="32"/>
    <x v="0"/>
    <x v="0"/>
    <x v="1"/>
  </r>
  <r>
    <x v="1"/>
    <x v="2"/>
    <x v="8"/>
    <x v="33"/>
    <x v="33"/>
    <x v="0"/>
    <x v="0"/>
    <x v="1"/>
  </r>
  <r>
    <x v="1"/>
    <x v="3"/>
    <x v="9"/>
    <x v="34"/>
    <x v="34"/>
    <x v="0"/>
    <x v="0"/>
    <x v="1"/>
  </r>
  <r>
    <x v="1"/>
    <x v="3"/>
    <x v="10"/>
    <x v="35"/>
    <x v="35"/>
    <x v="0"/>
    <x v="0"/>
    <x v="1"/>
  </r>
  <r>
    <x v="1"/>
    <x v="3"/>
    <x v="11"/>
    <x v="36"/>
    <x v="36"/>
    <x v="0"/>
    <x v="0"/>
    <x v="8"/>
  </r>
  <r>
    <x v="1"/>
    <x v="3"/>
    <x v="11"/>
    <x v="37"/>
    <x v="37"/>
    <x v="2"/>
    <x v="2"/>
    <x v="9"/>
  </r>
  <r>
    <x v="1"/>
    <x v="4"/>
    <x v="12"/>
    <x v="38"/>
    <x v="38"/>
    <x v="0"/>
    <x v="0"/>
    <x v="1"/>
  </r>
  <r>
    <x v="1"/>
    <x v="4"/>
    <x v="12"/>
    <x v="39"/>
    <x v="39"/>
    <x v="0"/>
    <x v="0"/>
    <x v="1"/>
  </r>
  <r>
    <x v="1"/>
    <x v="4"/>
    <x v="12"/>
    <x v="40"/>
    <x v="40"/>
    <x v="2"/>
    <x v="2"/>
    <x v="1"/>
  </r>
  <r>
    <x v="1"/>
    <x v="4"/>
    <x v="13"/>
    <x v="41"/>
    <x v="41"/>
    <x v="0"/>
    <x v="0"/>
    <x v="1"/>
  </r>
  <r>
    <x v="1"/>
    <x v="4"/>
    <x v="13"/>
    <x v="42"/>
    <x v="42"/>
    <x v="0"/>
    <x v="0"/>
    <x v="1"/>
  </r>
  <r>
    <x v="1"/>
    <x v="4"/>
    <x v="13"/>
    <x v="43"/>
    <x v="43"/>
    <x v="2"/>
    <x v="2"/>
    <x v="10"/>
  </r>
  <r>
    <x v="1"/>
    <x v="4"/>
    <x v="13"/>
    <x v="44"/>
    <x v="44"/>
    <x v="0"/>
    <x v="0"/>
    <x v="11"/>
  </r>
  <r>
    <x v="1"/>
    <x v="4"/>
    <x v="13"/>
    <x v="45"/>
    <x v="45"/>
    <x v="1"/>
    <x v="1"/>
    <x v="1"/>
  </r>
  <r>
    <x v="2"/>
    <x v="5"/>
    <x v="14"/>
    <x v="46"/>
    <x v="46"/>
    <x v="0"/>
    <x v="0"/>
    <x v="1"/>
  </r>
  <r>
    <x v="2"/>
    <x v="5"/>
    <x v="14"/>
    <x v="47"/>
    <x v="47"/>
    <x v="0"/>
    <x v="0"/>
    <x v="1"/>
  </r>
  <r>
    <x v="2"/>
    <x v="5"/>
    <x v="14"/>
    <x v="48"/>
    <x v="48"/>
    <x v="0"/>
    <x v="0"/>
    <x v="12"/>
  </r>
  <r>
    <x v="2"/>
    <x v="5"/>
    <x v="14"/>
    <x v="49"/>
    <x v="49"/>
    <x v="0"/>
    <x v="0"/>
    <x v="1"/>
  </r>
  <r>
    <x v="2"/>
    <x v="5"/>
    <x v="15"/>
    <x v="50"/>
    <x v="50"/>
    <x v="0"/>
    <x v="0"/>
    <x v="1"/>
  </r>
  <r>
    <x v="2"/>
    <x v="5"/>
    <x v="15"/>
    <x v="51"/>
    <x v="51"/>
    <x v="0"/>
    <x v="0"/>
    <x v="1"/>
  </r>
  <r>
    <x v="2"/>
    <x v="5"/>
    <x v="15"/>
    <x v="52"/>
    <x v="52"/>
    <x v="0"/>
    <x v="0"/>
    <x v="1"/>
  </r>
  <r>
    <x v="2"/>
    <x v="5"/>
    <x v="15"/>
    <x v="53"/>
    <x v="53"/>
    <x v="2"/>
    <x v="2"/>
    <x v="1"/>
  </r>
  <r>
    <x v="2"/>
    <x v="5"/>
    <x v="15"/>
    <x v="54"/>
    <x v="54"/>
    <x v="0"/>
    <x v="0"/>
    <x v="1"/>
  </r>
  <r>
    <x v="2"/>
    <x v="6"/>
    <x v="16"/>
    <x v="55"/>
    <x v="55"/>
    <x v="0"/>
    <x v="0"/>
    <x v="1"/>
  </r>
  <r>
    <x v="2"/>
    <x v="6"/>
    <x v="16"/>
    <x v="56"/>
    <x v="56"/>
    <x v="0"/>
    <x v="0"/>
    <x v="1"/>
  </r>
  <r>
    <x v="2"/>
    <x v="6"/>
    <x v="16"/>
    <x v="57"/>
    <x v="57"/>
    <x v="0"/>
    <x v="0"/>
    <x v="13"/>
  </r>
  <r>
    <x v="2"/>
    <x v="6"/>
    <x v="16"/>
    <x v="58"/>
    <x v="58"/>
    <x v="0"/>
    <x v="0"/>
    <x v="1"/>
  </r>
  <r>
    <x v="2"/>
    <x v="6"/>
    <x v="16"/>
    <x v="59"/>
    <x v="59"/>
    <x v="0"/>
    <x v="0"/>
    <x v="1"/>
  </r>
  <r>
    <x v="2"/>
    <x v="6"/>
    <x v="17"/>
    <x v="60"/>
    <x v="60"/>
    <x v="0"/>
    <x v="0"/>
    <x v="1"/>
  </r>
  <r>
    <x v="2"/>
    <x v="6"/>
    <x v="17"/>
    <x v="61"/>
    <x v="61"/>
    <x v="0"/>
    <x v="0"/>
    <x v="1"/>
  </r>
  <r>
    <x v="2"/>
    <x v="6"/>
    <x v="17"/>
    <x v="62"/>
    <x v="62"/>
    <x v="0"/>
    <x v="0"/>
    <x v="1"/>
  </r>
  <r>
    <x v="2"/>
    <x v="6"/>
    <x v="17"/>
    <x v="63"/>
    <x v="63"/>
    <x v="0"/>
    <x v="0"/>
    <x v="1"/>
  </r>
  <r>
    <x v="2"/>
    <x v="7"/>
    <x v="18"/>
    <x v="64"/>
    <x v="64"/>
    <x v="0"/>
    <x v="0"/>
    <x v="1"/>
  </r>
  <r>
    <x v="2"/>
    <x v="7"/>
    <x v="18"/>
    <x v="65"/>
    <x v="65"/>
    <x v="0"/>
    <x v="0"/>
    <x v="1"/>
  </r>
  <r>
    <x v="2"/>
    <x v="7"/>
    <x v="18"/>
    <x v="66"/>
    <x v="66"/>
    <x v="0"/>
    <x v="0"/>
    <x v="1"/>
  </r>
  <r>
    <x v="2"/>
    <x v="7"/>
    <x v="19"/>
    <x v="67"/>
    <x v="67"/>
    <x v="0"/>
    <x v="0"/>
    <x v="1"/>
  </r>
  <r>
    <x v="2"/>
    <x v="7"/>
    <x v="19"/>
    <x v="68"/>
    <x v="68"/>
    <x v="0"/>
    <x v="0"/>
    <x v="1"/>
  </r>
  <r>
    <x v="2"/>
    <x v="7"/>
    <x v="19"/>
    <x v="69"/>
    <x v="69"/>
    <x v="0"/>
    <x v="0"/>
    <x v="14"/>
  </r>
  <r>
    <x v="2"/>
    <x v="7"/>
    <x v="20"/>
    <x v="70"/>
    <x v="70"/>
    <x v="0"/>
    <x v="0"/>
    <x v="1"/>
  </r>
  <r>
    <x v="2"/>
    <x v="7"/>
    <x v="20"/>
    <x v="71"/>
    <x v="71"/>
    <x v="0"/>
    <x v="0"/>
    <x v="1"/>
  </r>
  <r>
    <x v="3"/>
    <x v="8"/>
    <x v="21"/>
    <x v="72"/>
    <x v="72"/>
    <x v="0"/>
    <x v="0"/>
    <x v="15"/>
  </r>
  <r>
    <x v="3"/>
    <x v="8"/>
    <x v="21"/>
    <x v="73"/>
    <x v="73"/>
    <x v="0"/>
    <x v="0"/>
    <x v="16"/>
  </r>
  <r>
    <x v="3"/>
    <x v="8"/>
    <x v="22"/>
    <x v="74"/>
    <x v="74"/>
    <x v="0"/>
    <x v="0"/>
    <x v="1"/>
  </r>
  <r>
    <x v="3"/>
    <x v="8"/>
    <x v="22"/>
    <x v="75"/>
    <x v="75"/>
    <x v="0"/>
    <x v="0"/>
    <x v="1"/>
  </r>
  <r>
    <x v="3"/>
    <x v="8"/>
    <x v="22"/>
    <x v="76"/>
    <x v="76"/>
    <x v="2"/>
    <x v="2"/>
    <x v="17"/>
  </r>
  <r>
    <x v="3"/>
    <x v="8"/>
    <x v="22"/>
    <x v="77"/>
    <x v="77"/>
    <x v="0"/>
    <x v="0"/>
    <x v="1"/>
  </r>
  <r>
    <x v="3"/>
    <x v="9"/>
    <x v="23"/>
    <x v="78"/>
    <x v="78"/>
    <x v="0"/>
    <x v="0"/>
    <x v="1"/>
  </r>
  <r>
    <x v="3"/>
    <x v="9"/>
    <x v="23"/>
    <x v="79"/>
    <x v="79"/>
    <x v="0"/>
    <x v="0"/>
    <x v="18"/>
  </r>
  <r>
    <x v="3"/>
    <x v="9"/>
    <x v="23"/>
    <x v="80"/>
    <x v="80"/>
    <x v="0"/>
    <x v="0"/>
    <x v="1"/>
  </r>
  <r>
    <x v="3"/>
    <x v="9"/>
    <x v="24"/>
    <x v="81"/>
    <x v="81"/>
    <x v="0"/>
    <x v="0"/>
    <x v="1"/>
  </r>
  <r>
    <x v="3"/>
    <x v="9"/>
    <x v="24"/>
    <x v="82"/>
    <x v="82"/>
    <x v="0"/>
    <x v="0"/>
    <x v="1"/>
  </r>
  <r>
    <x v="3"/>
    <x v="9"/>
    <x v="24"/>
    <x v="83"/>
    <x v="83"/>
    <x v="0"/>
    <x v="0"/>
    <x v="1"/>
  </r>
  <r>
    <x v="3"/>
    <x v="9"/>
    <x v="24"/>
    <x v="83"/>
    <x v="84"/>
    <x v="0"/>
    <x v="0"/>
    <x v="1"/>
  </r>
  <r>
    <x v="3"/>
    <x v="9"/>
    <x v="25"/>
    <x v="84"/>
    <x v="85"/>
    <x v="0"/>
    <x v="0"/>
    <x v="1"/>
  </r>
  <r>
    <x v="3"/>
    <x v="9"/>
    <x v="25"/>
    <x v="85"/>
    <x v="86"/>
    <x v="0"/>
    <x v="0"/>
    <x v="1"/>
  </r>
  <r>
    <x v="3"/>
    <x v="9"/>
    <x v="25"/>
    <x v="86"/>
    <x v="87"/>
    <x v="0"/>
    <x v="0"/>
    <x v="1"/>
  </r>
  <r>
    <x v="4"/>
    <x v="10"/>
    <x v="26"/>
    <x v="87"/>
    <x v="88"/>
    <x v="0"/>
    <x v="0"/>
    <x v="1"/>
  </r>
  <r>
    <x v="4"/>
    <x v="10"/>
    <x v="27"/>
    <x v="88"/>
    <x v="89"/>
    <x v="0"/>
    <x v="0"/>
    <x v="1"/>
  </r>
  <r>
    <x v="4"/>
    <x v="10"/>
    <x v="27"/>
    <x v="89"/>
    <x v="90"/>
    <x v="0"/>
    <x v="0"/>
    <x v="1"/>
  </r>
  <r>
    <x v="4"/>
    <x v="10"/>
    <x v="27"/>
    <x v="90"/>
    <x v="91"/>
    <x v="0"/>
    <x v="0"/>
    <x v="1"/>
  </r>
  <r>
    <x v="4"/>
    <x v="10"/>
    <x v="27"/>
    <x v="91"/>
    <x v="92"/>
    <x v="0"/>
    <x v="0"/>
    <x v="1"/>
  </r>
  <r>
    <x v="4"/>
    <x v="10"/>
    <x v="27"/>
    <x v="92"/>
    <x v="93"/>
    <x v="0"/>
    <x v="0"/>
    <x v="1"/>
  </r>
  <r>
    <x v="4"/>
    <x v="10"/>
    <x v="28"/>
    <x v="93"/>
    <x v="94"/>
    <x v="0"/>
    <x v="0"/>
    <x v="19"/>
  </r>
  <r>
    <x v="4"/>
    <x v="10"/>
    <x v="28"/>
    <x v="94"/>
    <x v="95"/>
    <x v="0"/>
    <x v="0"/>
    <x v="1"/>
  </r>
  <r>
    <x v="4"/>
    <x v="10"/>
    <x v="28"/>
    <x v="95"/>
    <x v="96"/>
    <x v="0"/>
    <x v="0"/>
    <x v="1"/>
  </r>
  <r>
    <x v="4"/>
    <x v="10"/>
    <x v="28"/>
    <x v="96"/>
    <x v="97"/>
    <x v="0"/>
    <x v="0"/>
    <x v="1"/>
  </r>
  <r>
    <x v="4"/>
    <x v="10"/>
    <x v="28"/>
    <x v="97"/>
    <x v="98"/>
    <x v="0"/>
    <x v="0"/>
    <x v="20"/>
  </r>
  <r>
    <x v="4"/>
    <x v="10"/>
    <x v="28"/>
    <x v="98"/>
    <x v="99"/>
    <x v="0"/>
    <x v="0"/>
    <x v="1"/>
  </r>
  <r>
    <x v="4"/>
    <x v="11"/>
    <x v="29"/>
    <x v="99"/>
    <x v="100"/>
    <x v="0"/>
    <x v="0"/>
    <x v="1"/>
  </r>
  <r>
    <x v="4"/>
    <x v="11"/>
    <x v="29"/>
    <x v="100"/>
    <x v="101"/>
    <x v="0"/>
    <x v="0"/>
    <x v="1"/>
  </r>
  <r>
    <x v="4"/>
    <x v="11"/>
    <x v="29"/>
    <x v="101"/>
    <x v="102"/>
    <x v="0"/>
    <x v="0"/>
    <x v="1"/>
  </r>
  <r>
    <x v="4"/>
    <x v="11"/>
    <x v="30"/>
    <x v="102"/>
    <x v="103"/>
    <x v="0"/>
    <x v="0"/>
    <x v="1"/>
  </r>
  <r>
    <x v="4"/>
    <x v="11"/>
    <x v="30"/>
    <x v="103"/>
    <x v="104"/>
    <x v="0"/>
    <x v="0"/>
    <x v="1"/>
  </r>
  <r>
    <x v="4"/>
    <x v="11"/>
    <x v="30"/>
    <x v="103"/>
    <x v="105"/>
    <x v="0"/>
    <x v="0"/>
    <x v="1"/>
  </r>
  <r>
    <x v="4"/>
    <x v="11"/>
    <x v="30"/>
    <x v="104"/>
    <x v="106"/>
    <x v="1"/>
    <x v="1"/>
    <x v="1"/>
  </r>
  <r>
    <x v="4"/>
    <x v="11"/>
    <x v="31"/>
    <x v="105"/>
    <x v="107"/>
    <x v="0"/>
    <x v="0"/>
    <x v="1"/>
  </r>
  <r>
    <x v="4"/>
    <x v="11"/>
    <x v="31"/>
    <x v="106"/>
    <x v="108"/>
    <x v="0"/>
    <x v="0"/>
    <x v="1"/>
  </r>
  <r>
    <x v="4"/>
    <x v="11"/>
    <x v="31"/>
    <x v="106"/>
    <x v="109"/>
    <x v="0"/>
    <x v="0"/>
    <x v="21"/>
  </r>
  <r>
    <x v="5"/>
    <x v="12"/>
    <x v="32"/>
    <x v="107"/>
    <x v="110"/>
    <x v="0"/>
    <x v="0"/>
    <x v="1"/>
  </r>
  <r>
    <x v="5"/>
    <x v="12"/>
    <x v="32"/>
    <x v="108"/>
    <x v="111"/>
    <x v="0"/>
    <x v="0"/>
    <x v="1"/>
  </r>
  <r>
    <x v="5"/>
    <x v="12"/>
    <x v="32"/>
    <x v="109"/>
    <x v="112"/>
    <x v="2"/>
    <x v="2"/>
    <x v="1"/>
  </r>
  <r>
    <x v="5"/>
    <x v="12"/>
    <x v="33"/>
    <x v="110"/>
    <x v="113"/>
    <x v="0"/>
    <x v="0"/>
    <x v="1"/>
  </r>
  <r>
    <x v="5"/>
    <x v="12"/>
    <x v="33"/>
    <x v="110"/>
    <x v="114"/>
    <x v="0"/>
    <x v="0"/>
    <x v="1"/>
  </r>
  <r>
    <x v="5"/>
    <x v="13"/>
    <x v="34"/>
    <x v="111"/>
    <x v="115"/>
    <x v="0"/>
    <x v="0"/>
    <x v="1"/>
  </r>
  <r>
    <x v="5"/>
    <x v="13"/>
    <x v="34"/>
    <x v="112"/>
    <x v="116"/>
    <x v="0"/>
    <x v="0"/>
    <x v="1"/>
  </r>
  <r>
    <x v="5"/>
    <x v="13"/>
    <x v="34"/>
    <x v="113"/>
    <x v="117"/>
    <x v="0"/>
    <x v="0"/>
    <x v="1"/>
  </r>
  <r>
    <x v="5"/>
    <x v="13"/>
    <x v="35"/>
    <x v="114"/>
    <x v="118"/>
    <x v="0"/>
    <x v="0"/>
    <x v="1"/>
  </r>
  <r>
    <x v="5"/>
    <x v="13"/>
    <x v="35"/>
    <x v="115"/>
    <x v="119"/>
    <x v="0"/>
    <x v="0"/>
    <x v="1"/>
  </r>
  <r>
    <x v="5"/>
    <x v="13"/>
    <x v="35"/>
    <x v="116"/>
    <x v="120"/>
    <x v="0"/>
    <x v="0"/>
    <x v="22"/>
  </r>
  <r>
    <x v="5"/>
    <x v="13"/>
    <x v="35"/>
    <x v="117"/>
    <x v="121"/>
    <x v="0"/>
    <x v="0"/>
    <x v="1"/>
  </r>
  <r>
    <x v="5"/>
    <x v="13"/>
    <x v="35"/>
    <x v="118"/>
    <x v="122"/>
    <x v="0"/>
    <x v="0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8" useAutoFormatting="1" indent="0" outline="1" outlineData="1" showDrill="1" multipleFieldFilters="0">
  <location ref="A3:C10" firstHeaderRow="0" firstDataRow="1" firstDataCol="1"/>
  <pivotFields count="8">
    <pivotField axis="axisRow" showAll="0">
      <items count="7">
        <item x="0"/>
        <item x="5"/>
        <item x="4"/>
        <item x="1"/>
        <item x="3"/>
        <item x="2"/>
        <item t="default"/>
      </items>
    </pivotField>
    <pivotField showAll="0"/>
    <pivotField showAll="0"/>
    <pivotField dataField="1" showAll="0">
      <items count="114">
        <item x="35"/>
        <item x="27"/>
        <item x="1"/>
        <item x="32"/>
        <item x="110"/>
        <item x="64"/>
        <item x="58"/>
        <item x="25"/>
        <item x="15"/>
        <item x="52"/>
        <item x="9"/>
        <item x="75"/>
        <item x="70"/>
        <item x="107"/>
        <item x="108"/>
        <item x="101"/>
        <item x="103"/>
        <item x="99"/>
        <item x="100"/>
        <item x="81"/>
        <item x="61"/>
        <item x="88"/>
        <item x="24"/>
        <item x="3"/>
        <item x="87"/>
        <item x="13"/>
        <item x="38"/>
        <item x="50"/>
        <item x="67"/>
        <item x="91"/>
        <item x="68"/>
        <item x="37"/>
        <item x="4"/>
        <item x="44"/>
        <item x="98"/>
        <item x="106"/>
        <item x="80"/>
        <item x="46"/>
        <item x="60"/>
        <item x="14"/>
        <item x="102"/>
        <item x="112"/>
        <item x="10"/>
        <item x="7"/>
        <item x="96"/>
        <item x="59"/>
        <item x="34"/>
        <item x="77"/>
        <item x="48"/>
        <item x="53"/>
        <item x="26"/>
        <item x="8"/>
        <item x="0"/>
        <item x="86"/>
        <item x="20"/>
        <item x="17"/>
        <item x="18"/>
        <item x="19"/>
        <item x="5"/>
        <item x="90"/>
        <item x="104"/>
        <item x="40"/>
        <item x="89"/>
        <item x="93"/>
        <item x="95"/>
        <item x="94"/>
        <item x="33"/>
        <item x="73"/>
        <item x="72"/>
        <item x="76"/>
        <item x="51"/>
        <item x="47"/>
        <item x="45"/>
        <item x="65"/>
        <item x="49"/>
        <item x="84"/>
        <item x="85"/>
        <item x="66"/>
        <item x="105"/>
        <item x="111"/>
        <item x="39"/>
        <item x="22"/>
        <item x="23"/>
        <item x="28"/>
        <item x="29"/>
        <item x="2"/>
        <item x="56"/>
        <item x="57"/>
        <item x="16"/>
        <item x="74"/>
        <item x="55"/>
        <item x="79"/>
        <item x="83"/>
        <item x="82"/>
        <item x="6"/>
        <item x="12"/>
        <item x="36"/>
        <item x="78"/>
        <item x="31"/>
        <item x="69"/>
        <item x="71"/>
        <item x="62"/>
        <item x="63"/>
        <item x="41"/>
        <item x="21"/>
        <item x="11"/>
        <item x="30"/>
        <item x="42"/>
        <item x="43"/>
        <item x="54"/>
        <item x="92"/>
        <item x="97"/>
        <item x="109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dataField="1" showAll="0">
      <items count="4">
        <item x="1"/>
        <item x="2"/>
        <item x="0"/>
        <item t="default"/>
      </items>
    </pivotField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得分" fld="6" baseField="0" baseItem="0"/>
    <dataField name="计数项:指标名称" fld="3" subtotal="count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3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3:F21" firstHeaderRow="1" firstDataRow="2" firstDataCol="1"/>
  <pivotFields count="8">
    <pivotField axis="axisRow" compact="0" showAll="0">
      <items count="7">
        <item x="0"/>
        <item x="5"/>
        <item x="4"/>
        <item x="1"/>
        <item x="3"/>
        <item x="2"/>
        <item t="default"/>
      </items>
    </pivotField>
    <pivotField compact="0" showAll="0"/>
    <pivotField compact="0" showAll="0"/>
    <pivotField compact="0" showAll="0"/>
    <pivotField compact="0" showAll="0"/>
    <pivotField axis="axisCol" dataField="1"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计数项:是否达标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24"/>
  <sheetViews>
    <sheetView tabSelected="1" zoomScale="85" zoomScaleNormal="85" topLeftCell="A104" workbookViewId="0">
      <selection activeCell="D113" sqref="D113"/>
    </sheetView>
  </sheetViews>
  <sheetFormatPr defaultColWidth="9" defaultRowHeight="14.25" outlineLevelCol="7"/>
  <cols>
    <col min="1" max="1" width="11.375" style="22" customWidth="1"/>
    <col min="2" max="2" width="12.25" style="22" customWidth="1"/>
    <col min="3" max="3" width="20.875" style="22" customWidth="1"/>
    <col min="4" max="4" width="13.25" style="23" customWidth="1"/>
    <col min="5" max="5" width="45.125" style="23" customWidth="1"/>
    <col min="6" max="7" width="12" style="22" customWidth="1"/>
    <col min="8" max="8" width="35" style="23" customWidth="1"/>
    <col min="9" max="16384" width="9" style="24"/>
  </cols>
  <sheetData>
    <row r="1" ht="16.5" spans="1:8">
      <c r="A1" s="25" t="s">
        <v>0</v>
      </c>
      <c r="B1" s="25" t="s">
        <v>1</v>
      </c>
      <c r="C1" s="25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ht="33" spans="1:8">
      <c r="A2" s="26" t="s">
        <v>8</v>
      </c>
      <c r="B2" s="26" t="s">
        <v>9</v>
      </c>
      <c r="C2" s="26" t="s">
        <v>10</v>
      </c>
      <c r="D2" s="5" t="s">
        <v>11</v>
      </c>
      <c r="E2" s="5" t="s">
        <v>12</v>
      </c>
      <c r="F2" s="5" t="s">
        <v>13</v>
      </c>
      <c r="G2" s="5">
        <f t="shared" ref="G2:G65" si="0">IF(F2="符合",1,IF(F2="不符合",0,0.5))</f>
        <v>1</v>
      </c>
      <c r="H2" s="6" t="s">
        <v>14</v>
      </c>
    </row>
    <row r="3" ht="16.5" spans="1:8">
      <c r="A3" s="27"/>
      <c r="B3" s="27"/>
      <c r="C3" s="28"/>
      <c r="D3" s="5" t="s">
        <v>15</v>
      </c>
      <c r="E3" s="5" t="s">
        <v>16</v>
      </c>
      <c r="F3" s="5" t="s">
        <v>13</v>
      </c>
      <c r="G3" s="5">
        <f t="shared" si="0"/>
        <v>1</v>
      </c>
      <c r="H3" s="6"/>
    </row>
    <row r="4" ht="16.5" spans="1:8">
      <c r="A4" s="27"/>
      <c r="B4" s="27"/>
      <c r="C4" s="26" t="s">
        <v>17</v>
      </c>
      <c r="D4" s="5" t="s">
        <v>18</v>
      </c>
      <c r="E4" s="5" t="s">
        <v>19</v>
      </c>
      <c r="F4" s="5" t="s">
        <v>13</v>
      </c>
      <c r="G4" s="5">
        <f t="shared" si="0"/>
        <v>1</v>
      </c>
      <c r="H4" s="6"/>
    </row>
    <row r="5" ht="16.5" spans="1:8">
      <c r="A5" s="29"/>
      <c r="B5" s="29"/>
      <c r="C5" s="30"/>
      <c r="D5" s="7" t="s">
        <v>20</v>
      </c>
      <c r="E5" s="7" t="s">
        <v>21</v>
      </c>
      <c r="F5" s="5" t="s">
        <v>13</v>
      </c>
      <c r="G5" s="5">
        <f t="shared" si="0"/>
        <v>1</v>
      </c>
      <c r="H5" s="8"/>
    </row>
    <row r="6" ht="16.5" spans="1:8">
      <c r="A6" s="27"/>
      <c r="B6" s="27"/>
      <c r="C6" s="26" t="s">
        <v>22</v>
      </c>
      <c r="D6" s="5" t="s">
        <v>23</v>
      </c>
      <c r="E6" s="5" t="s">
        <v>24</v>
      </c>
      <c r="F6" s="5" t="s">
        <v>13</v>
      </c>
      <c r="G6" s="5">
        <f t="shared" si="0"/>
        <v>1</v>
      </c>
      <c r="H6" s="6"/>
    </row>
    <row r="7" ht="33" spans="1:8">
      <c r="A7" s="27"/>
      <c r="B7" s="28"/>
      <c r="C7" s="28"/>
      <c r="D7" s="5" t="s">
        <v>25</v>
      </c>
      <c r="E7" s="5" t="s">
        <v>26</v>
      </c>
      <c r="F7" s="5" t="s">
        <v>13</v>
      </c>
      <c r="G7" s="5">
        <f t="shared" si="0"/>
        <v>1</v>
      </c>
      <c r="H7" s="6"/>
    </row>
    <row r="8" ht="33" spans="1:8">
      <c r="A8" s="27"/>
      <c r="B8" s="26" t="s">
        <v>27</v>
      </c>
      <c r="C8" s="5" t="s">
        <v>28</v>
      </c>
      <c r="D8" s="5" t="s">
        <v>29</v>
      </c>
      <c r="E8" s="5" t="s">
        <v>30</v>
      </c>
      <c r="F8" s="5" t="s">
        <v>13</v>
      </c>
      <c r="G8" s="5">
        <f t="shared" si="0"/>
        <v>1</v>
      </c>
      <c r="H8" s="6" t="s">
        <v>31</v>
      </c>
    </row>
    <row r="9" ht="33" spans="1:8">
      <c r="A9" s="27"/>
      <c r="B9" s="27"/>
      <c r="C9" s="26" t="s">
        <v>32</v>
      </c>
      <c r="D9" s="5" t="s">
        <v>33</v>
      </c>
      <c r="E9" s="5" t="s">
        <v>34</v>
      </c>
      <c r="F9" s="5" t="s">
        <v>13</v>
      </c>
      <c r="G9" s="5">
        <f t="shared" si="0"/>
        <v>1</v>
      </c>
      <c r="H9" s="6"/>
    </row>
    <row r="10" ht="33" spans="1:8">
      <c r="A10" s="27"/>
      <c r="B10" s="27"/>
      <c r="C10" s="27"/>
      <c r="D10" s="5" t="s">
        <v>35</v>
      </c>
      <c r="E10" s="5" t="s">
        <v>36</v>
      </c>
      <c r="F10" s="5" t="s">
        <v>13</v>
      </c>
      <c r="G10" s="5">
        <f t="shared" si="0"/>
        <v>1</v>
      </c>
      <c r="H10" s="6"/>
    </row>
    <row r="11" ht="33" spans="1:8">
      <c r="A11" s="27"/>
      <c r="B11" s="27"/>
      <c r="C11" s="27"/>
      <c r="D11" s="5" t="s">
        <v>37</v>
      </c>
      <c r="E11" s="5" t="s">
        <v>38</v>
      </c>
      <c r="F11" s="5" t="s">
        <v>13</v>
      </c>
      <c r="G11" s="5">
        <f t="shared" si="0"/>
        <v>1</v>
      </c>
      <c r="H11" s="6"/>
    </row>
    <row r="12" ht="33" spans="1:8">
      <c r="A12" s="29"/>
      <c r="B12" s="29"/>
      <c r="C12" s="29"/>
      <c r="D12" s="9" t="s">
        <v>39</v>
      </c>
      <c r="E12" s="9" t="s">
        <v>40</v>
      </c>
      <c r="F12" s="9" t="s">
        <v>41</v>
      </c>
      <c r="G12" s="5">
        <f t="shared" si="0"/>
        <v>0</v>
      </c>
      <c r="H12" s="10"/>
    </row>
    <row r="13" ht="33" spans="1:8">
      <c r="A13" s="29"/>
      <c r="B13" s="29"/>
      <c r="C13" s="30"/>
      <c r="D13" s="9" t="s">
        <v>42</v>
      </c>
      <c r="E13" s="9" t="s">
        <v>43</v>
      </c>
      <c r="F13" s="9" t="s">
        <v>41</v>
      </c>
      <c r="G13" s="5">
        <f t="shared" si="0"/>
        <v>0</v>
      </c>
      <c r="H13" s="10" t="s">
        <v>44</v>
      </c>
    </row>
    <row r="14" ht="16.5" spans="1:8">
      <c r="A14" s="29"/>
      <c r="B14" s="29"/>
      <c r="C14" s="31" t="s">
        <v>45</v>
      </c>
      <c r="D14" s="9" t="s">
        <v>46</v>
      </c>
      <c r="E14" s="9" t="s">
        <v>47</v>
      </c>
      <c r="F14" s="9" t="s">
        <v>41</v>
      </c>
      <c r="G14" s="5">
        <f t="shared" si="0"/>
        <v>0</v>
      </c>
      <c r="H14" s="10" t="s">
        <v>48</v>
      </c>
    </row>
    <row r="15" ht="16.5" spans="1:8">
      <c r="A15" s="29"/>
      <c r="B15" s="29"/>
      <c r="C15" s="29"/>
      <c r="D15" s="11" t="s">
        <v>49</v>
      </c>
      <c r="E15" s="11" t="s">
        <v>50</v>
      </c>
      <c r="F15" s="11" t="s">
        <v>51</v>
      </c>
      <c r="G15" s="5">
        <f t="shared" si="0"/>
        <v>0.5</v>
      </c>
      <c r="H15" s="12" t="s">
        <v>52</v>
      </c>
    </row>
    <row r="16" ht="16.5" spans="1:8">
      <c r="A16" s="29"/>
      <c r="B16" s="29"/>
      <c r="C16" s="29"/>
      <c r="D16" s="9" t="s">
        <v>53</v>
      </c>
      <c r="E16" s="9" t="s">
        <v>54</v>
      </c>
      <c r="F16" s="9" t="s">
        <v>41</v>
      </c>
      <c r="G16" s="5">
        <f t="shared" si="0"/>
        <v>0</v>
      </c>
      <c r="H16" s="10"/>
    </row>
    <row r="17" ht="16.5" spans="1:8">
      <c r="A17" s="27"/>
      <c r="B17" s="27"/>
      <c r="C17" s="29"/>
      <c r="D17" s="5" t="s">
        <v>55</v>
      </c>
      <c r="E17" s="5" t="s">
        <v>56</v>
      </c>
      <c r="F17" s="5" t="s">
        <v>13</v>
      </c>
      <c r="G17" s="5">
        <f t="shared" si="0"/>
        <v>1</v>
      </c>
      <c r="H17" s="6"/>
    </row>
    <row r="18" ht="16.5" spans="1:8">
      <c r="A18" s="29"/>
      <c r="B18" s="29"/>
      <c r="C18" s="30"/>
      <c r="D18" s="7" t="s">
        <v>57</v>
      </c>
      <c r="E18" s="7" t="s">
        <v>58</v>
      </c>
      <c r="F18" s="7" t="s">
        <v>59</v>
      </c>
      <c r="G18" s="5">
        <f t="shared" si="0"/>
        <v>0.5</v>
      </c>
      <c r="H18" s="8"/>
    </row>
    <row r="19" ht="16.5" spans="1:8">
      <c r="A19" s="27"/>
      <c r="B19" s="27"/>
      <c r="C19" s="26" t="s">
        <v>60</v>
      </c>
      <c r="D19" s="5" t="s">
        <v>61</v>
      </c>
      <c r="E19" s="5" t="s">
        <v>62</v>
      </c>
      <c r="F19" s="5" t="s">
        <v>13</v>
      </c>
      <c r="G19" s="5">
        <f t="shared" si="0"/>
        <v>1</v>
      </c>
      <c r="H19" s="6"/>
    </row>
    <row r="20" ht="16.5" spans="1:8">
      <c r="A20" s="29"/>
      <c r="B20" s="29"/>
      <c r="C20" s="29"/>
      <c r="D20" s="7" t="s">
        <v>63</v>
      </c>
      <c r="E20" s="7" t="s">
        <v>64</v>
      </c>
      <c r="F20" s="7" t="s">
        <v>13</v>
      </c>
      <c r="G20" s="5">
        <f t="shared" si="0"/>
        <v>1</v>
      </c>
      <c r="H20" s="8"/>
    </row>
    <row r="21" ht="16.5" spans="1:8">
      <c r="A21" s="29"/>
      <c r="B21" s="29"/>
      <c r="C21" s="29"/>
      <c r="D21" s="7" t="s">
        <v>65</v>
      </c>
      <c r="E21" s="7" t="s">
        <v>66</v>
      </c>
      <c r="F21" s="7" t="s">
        <v>13</v>
      </c>
      <c r="G21" s="5">
        <f t="shared" si="0"/>
        <v>1</v>
      </c>
      <c r="H21" s="8"/>
    </row>
    <row r="22" ht="16.5" spans="1:8">
      <c r="A22" s="28"/>
      <c r="B22" s="28"/>
      <c r="C22" s="28"/>
      <c r="D22" s="5" t="s">
        <v>67</v>
      </c>
      <c r="E22" s="5" t="s">
        <v>68</v>
      </c>
      <c r="F22" s="5" t="s">
        <v>13</v>
      </c>
      <c r="G22" s="5">
        <f t="shared" si="0"/>
        <v>1</v>
      </c>
      <c r="H22" s="6"/>
    </row>
    <row r="23" ht="33" spans="1:8">
      <c r="A23" s="31" t="s">
        <v>69</v>
      </c>
      <c r="B23" s="31" t="s">
        <v>70</v>
      </c>
      <c r="C23" s="31" t="s">
        <v>71</v>
      </c>
      <c r="D23" s="11" t="s">
        <v>72</v>
      </c>
      <c r="E23" s="11" t="s">
        <v>73</v>
      </c>
      <c r="F23" s="11" t="s">
        <v>51</v>
      </c>
      <c r="G23" s="5">
        <f t="shared" si="0"/>
        <v>0.5</v>
      </c>
      <c r="H23" s="12" t="s">
        <v>74</v>
      </c>
    </row>
    <row r="24" ht="33" spans="1:8">
      <c r="A24" s="29"/>
      <c r="B24" s="29"/>
      <c r="C24" s="29"/>
      <c r="D24" s="5" t="s">
        <v>75</v>
      </c>
      <c r="E24" s="5" t="s">
        <v>76</v>
      </c>
      <c r="F24" s="5" t="s">
        <v>13</v>
      </c>
      <c r="G24" s="5">
        <f t="shared" si="0"/>
        <v>1</v>
      </c>
      <c r="H24" s="6"/>
    </row>
    <row r="25" ht="33" spans="1:8">
      <c r="A25" s="29"/>
      <c r="B25" s="29"/>
      <c r="C25" s="29"/>
      <c r="D25" s="5" t="s">
        <v>77</v>
      </c>
      <c r="E25" s="5" t="s">
        <v>78</v>
      </c>
      <c r="F25" s="5" t="s">
        <v>13</v>
      </c>
      <c r="G25" s="5">
        <f t="shared" si="0"/>
        <v>1</v>
      </c>
      <c r="H25" s="6"/>
    </row>
    <row r="26" ht="33" spans="1:8">
      <c r="A26" s="29"/>
      <c r="B26" s="29"/>
      <c r="C26" s="29"/>
      <c r="D26" s="5" t="s">
        <v>79</v>
      </c>
      <c r="E26" s="5" t="s">
        <v>80</v>
      </c>
      <c r="F26" s="5" t="s">
        <v>13</v>
      </c>
      <c r="G26" s="5">
        <f t="shared" si="0"/>
        <v>1</v>
      </c>
      <c r="H26" s="6"/>
    </row>
    <row r="27" ht="33" spans="1:8">
      <c r="A27" s="29"/>
      <c r="B27" s="29"/>
      <c r="C27" s="29"/>
      <c r="D27" s="5" t="s">
        <v>81</v>
      </c>
      <c r="E27" s="5" t="s">
        <v>82</v>
      </c>
      <c r="F27" s="5" t="s">
        <v>13</v>
      </c>
      <c r="G27" s="5">
        <f t="shared" si="0"/>
        <v>1</v>
      </c>
      <c r="H27" s="6"/>
    </row>
    <row r="28" ht="33" spans="1:8">
      <c r="A28" s="29"/>
      <c r="B28" s="29"/>
      <c r="C28" s="30"/>
      <c r="D28" s="5" t="s">
        <v>83</v>
      </c>
      <c r="E28" s="5" t="s">
        <v>84</v>
      </c>
      <c r="F28" s="5" t="s">
        <v>13</v>
      </c>
      <c r="G28" s="5">
        <f t="shared" si="0"/>
        <v>1</v>
      </c>
      <c r="H28" s="6"/>
    </row>
    <row r="29" ht="16.5" spans="1:8">
      <c r="A29" s="29"/>
      <c r="B29" s="29"/>
      <c r="C29" s="26" t="s">
        <v>85</v>
      </c>
      <c r="D29" s="5" t="s">
        <v>86</v>
      </c>
      <c r="E29" s="5" t="s">
        <v>87</v>
      </c>
      <c r="F29" s="5" t="s">
        <v>13</v>
      </c>
      <c r="G29" s="5">
        <f t="shared" si="0"/>
        <v>1</v>
      </c>
      <c r="H29" s="6"/>
    </row>
    <row r="30" ht="16.5" spans="1:8">
      <c r="A30" s="29"/>
      <c r="B30" s="29"/>
      <c r="C30" s="27"/>
      <c r="D30" s="5" t="s">
        <v>88</v>
      </c>
      <c r="E30" s="5" t="s">
        <v>89</v>
      </c>
      <c r="F30" s="5" t="s">
        <v>13</v>
      </c>
      <c r="G30" s="5">
        <f t="shared" si="0"/>
        <v>1</v>
      </c>
      <c r="H30" s="6"/>
    </row>
    <row r="31" ht="16.5" spans="1:8">
      <c r="A31" s="29"/>
      <c r="B31" s="29"/>
      <c r="C31" s="27"/>
      <c r="D31" s="5" t="s">
        <v>90</v>
      </c>
      <c r="E31" s="5" t="s">
        <v>91</v>
      </c>
      <c r="F31" s="5" t="s">
        <v>13</v>
      </c>
      <c r="G31" s="5">
        <f t="shared" si="0"/>
        <v>1</v>
      </c>
      <c r="H31" s="6" t="s">
        <v>92</v>
      </c>
    </row>
    <row r="32" ht="16.5" spans="1:8">
      <c r="A32" s="29"/>
      <c r="B32" s="29"/>
      <c r="C32" s="27"/>
      <c r="D32" s="5" t="s">
        <v>93</v>
      </c>
      <c r="E32" s="5" t="s">
        <v>94</v>
      </c>
      <c r="F32" s="5" t="s">
        <v>13</v>
      </c>
      <c r="G32" s="5">
        <f t="shared" si="0"/>
        <v>1</v>
      </c>
      <c r="H32" s="6"/>
    </row>
    <row r="33" ht="33" spans="1:8">
      <c r="A33" s="29"/>
      <c r="B33" s="29"/>
      <c r="C33" s="27"/>
      <c r="D33" s="5" t="s">
        <v>95</v>
      </c>
      <c r="E33" s="5" t="s">
        <v>96</v>
      </c>
      <c r="F33" s="5" t="s">
        <v>13</v>
      </c>
      <c r="G33" s="5">
        <f t="shared" si="0"/>
        <v>1</v>
      </c>
      <c r="H33" s="6"/>
    </row>
    <row r="34" ht="33" spans="1:8">
      <c r="A34" s="29"/>
      <c r="B34" s="29"/>
      <c r="C34" s="27"/>
      <c r="D34" s="5" t="s">
        <v>97</v>
      </c>
      <c r="E34" s="5" t="s">
        <v>98</v>
      </c>
      <c r="F34" s="5" t="s">
        <v>13</v>
      </c>
      <c r="G34" s="5">
        <f t="shared" si="0"/>
        <v>1</v>
      </c>
      <c r="H34" s="6"/>
    </row>
    <row r="35" ht="16.5" spans="1:8">
      <c r="A35" s="29"/>
      <c r="B35" s="30"/>
      <c r="C35" s="28"/>
      <c r="D35" s="5" t="s">
        <v>99</v>
      </c>
      <c r="E35" s="5" t="s">
        <v>100</v>
      </c>
      <c r="F35" s="5" t="s">
        <v>13</v>
      </c>
      <c r="G35" s="5">
        <f t="shared" si="0"/>
        <v>1</v>
      </c>
      <c r="H35" s="6"/>
    </row>
    <row r="36" ht="16.5" spans="1:8">
      <c r="A36" s="29"/>
      <c r="B36" s="31" t="s">
        <v>101</v>
      </c>
      <c r="C36" s="7" t="s">
        <v>102</v>
      </c>
      <c r="D36" s="7" t="s">
        <v>103</v>
      </c>
      <c r="E36" s="7" t="s">
        <v>104</v>
      </c>
      <c r="F36" s="5" t="s">
        <v>13</v>
      </c>
      <c r="G36" s="5">
        <f t="shared" si="0"/>
        <v>1</v>
      </c>
      <c r="H36" s="8"/>
    </row>
    <row r="37" ht="16.5" spans="1:8">
      <c r="A37" s="29"/>
      <c r="B37" s="29"/>
      <c r="C37" s="5" t="s">
        <v>105</v>
      </c>
      <c r="D37" s="5" t="s">
        <v>105</v>
      </c>
      <c r="E37" s="5" t="s">
        <v>106</v>
      </c>
      <c r="F37" s="5" t="s">
        <v>13</v>
      </c>
      <c r="G37" s="5">
        <f t="shared" si="0"/>
        <v>1</v>
      </c>
      <c r="H37" s="6"/>
    </row>
    <row r="38" ht="16.5" spans="1:8">
      <c r="A38" s="29"/>
      <c r="B38" s="29"/>
      <c r="C38" s="26" t="s">
        <v>107</v>
      </c>
      <c r="D38" s="5" t="s">
        <v>108</v>
      </c>
      <c r="E38" s="5" t="s">
        <v>109</v>
      </c>
      <c r="F38" s="5" t="s">
        <v>13</v>
      </c>
      <c r="G38" s="5">
        <f t="shared" si="0"/>
        <v>1</v>
      </c>
      <c r="H38" s="6" t="s">
        <v>110</v>
      </c>
    </row>
    <row r="39" ht="16.5" spans="1:8">
      <c r="A39" s="29"/>
      <c r="B39" s="30"/>
      <c r="C39" s="30"/>
      <c r="D39" s="11" t="s">
        <v>111</v>
      </c>
      <c r="E39" s="11" t="s">
        <v>112</v>
      </c>
      <c r="F39" s="11" t="s">
        <v>51</v>
      </c>
      <c r="G39" s="5">
        <f t="shared" si="0"/>
        <v>0.5</v>
      </c>
      <c r="H39" s="12" t="s">
        <v>113</v>
      </c>
    </row>
    <row r="40" ht="16.5" spans="1:8">
      <c r="A40" s="29"/>
      <c r="B40" s="26" t="s">
        <v>114</v>
      </c>
      <c r="C40" s="26" t="s">
        <v>115</v>
      </c>
      <c r="D40" s="5" t="s">
        <v>116</v>
      </c>
      <c r="E40" s="5" t="s">
        <v>117</v>
      </c>
      <c r="F40" s="5" t="s">
        <v>13</v>
      </c>
      <c r="G40" s="5">
        <f t="shared" si="0"/>
        <v>1</v>
      </c>
      <c r="H40" s="6"/>
    </row>
    <row r="41" ht="33" spans="1:8">
      <c r="A41" s="29"/>
      <c r="B41" s="27"/>
      <c r="C41" s="27"/>
      <c r="D41" s="5" t="s">
        <v>118</v>
      </c>
      <c r="E41" s="5" t="s">
        <v>119</v>
      </c>
      <c r="F41" s="5" t="s">
        <v>13</v>
      </c>
      <c r="G41" s="5">
        <f t="shared" si="0"/>
        <v>1</v>
      </c>
      <c r="H41" s="6"/>
    </row>
    <row r="42" ht="16.5" spans="1:8">
      <c r="A42" s="29"/>
      <c r="B42" s="29"/>
      <c r="C42" s="30"/>
      <c r="D42" s="11" t="s">
        <v>120</v>
      </c>
      <c r="E42" s="11" t="s">
        <v>121</v>
      </c>
      <c r="F42" s="11" t="s">
        <v>51</v>
      </c>
      <c r="G42" s="5">
        <f t="shared" si="0"/>
        <v>0.5</v>
      </c>
      <c r="H42" s="12"/>
    </row>
    <row r="43" ht="33" spans="1:8">
      <c r="A43" s="29"/>
      <c r="B43" s="27"/>
      <c r="C43" s="26" t="s">
        <v>122</v>
      </c>
      <c r="D43" s="5" t="s">
        <v>123</v>
      </c>
      <c r="E43" s="5" t="s">
        <v>124</v>
      </c>
      <c r="F43" s="5" t="s">
        <v>13</v>
      </c>
      <c r="G43" s="5">
        <f t="shared" si="0"/>
        <v>1</v>
      </c>
      <c r="H43" s="6"/>
    </row>
    <row r="44" ht="16.5" spans="1:8">
      <c r="A44" s="29"/>
      <c r="B44" s="27"/>
      <c r="C44" s="27"/>
      <c r="D44" s="5" t="s">
        <v>125</v>
      </c>
      <c r="E44" s="5" t="s">
        <v>126</v>
      </c>
      <c r="F44" s="5" t="s">
        <v>13</v>
      </c>
      <c r="G44" s="5">
        <f t="shared" si="0"/>
        <v>1</v>
      </c>
      <c r="H44" s="6"/>
    </row>
    <row r="45" ht="33" spans="1:8">
      <c r="A45" s="29"/>
      <c r="B45" s="29"/>
      <c r="C45" s="29"/>
      <c r="D45" s="11" t="s">
        <v>127</v>
      </c>
      <c r="E45" s="11" t="s">
        <v>128</v>
      </c>
      <c r="F45" s="11" t="s">
        <v>51</v>
      </c>
      <c r="G45" s="5">
        <f t="shared" si="0"/>
        <v>0.5</v>
      </c>
      <c r="H45" s="12" t="s">
        <v>129</v>
      </c>
    </row>
    <row r="46" ht="16.5" spans="1:8">
      <c r="A46" s="29"/>
      <c r="B46" s="29"/>
      <c r="C46" s="29"/>
      <c r="D46" s="7" t="s">
        <v>130</v>
      </c>
      <c r="E46" s="7" t="s">
        <v>131</v>
      </c>
      <c r="F46" s="5" t="s">
        <v>13</v>
      </c>
      <c r="G46" s="5">
        <f t="shared" si="0"/>
        <v>1</v>
      </c>
      <c r="H46" s="8" t="s">
        <v>132</v>
      </c>
    </row>
    <row r="47" ht="16.5" spans="1:8">
      <c r="A47" s="30"/>
      <c r="B47" s="30"/>
      <c r="C47" s="30"/>
      <c r="D47" s="9" t="s">
        <v>133</v>
      </c>
      <c r="E47" s="9" t="s">
        <v>134</v>
      </c>
      <c r="F47" s="9" t="s">
        <v>41</v>
      </c>
      <c r="G47" s="5">
        <f t="shared" si="0"/>
        <v>0</v>
      </c>
      <c r="H47" s="10"/>
    </row>
    <row r="48" ht="33" spans="1:8">
      <c r="A48" s="26" t="s">
        <v>135</v>
      </c>
      <c r="B48" s="26" t="s">
        <v>136</v>
      </c>
      <c r="C48" s="26" t="s">
        <v>137</v>
      </c>
      <c r="D48" s="5" t="s">
        <v>138</v>
      </c>
      <c r="E48" s="5" t="s">
        <v>139</v>
      </c>
      <c r="F48" s="5" t="s">
        <v>13</v>
      </c>
      <c r="G48" s="5">
        <f t="shared" si="0"/>
        <v>1</v>
      </c>
      <c r="H48" s="6"/>
    </row>
    <row r="49" ht="33" spans="1:8">
      <c r="A49" s="27"/>
      <c r="B49" s="27"/>
      <c r="C49" s="27"/>
      <c r="D49" s="5" t="s">
        <v>140</v>
      </c>
      <c r="E49" s="5" t="s">
        <v>141</v>
      </c>
      <c r="F49" s="5" t="s">
        <v>13</v>
      </c>
      <c r="G49" s="5">
        <f t="shared" si="0"/>
        <v>1</v>
      </c>
      <c r="H49" s="6"/>
    </row>
    <row r="50" ht="33" spans="1:8">
      <c r="A50" s="27"/>
      <c r="B50" s="27"/>
      <c r="C50" s="27"/>
      <c r="D50" s="5" t="s">
        <v>142</v>
      </c>
      <c r="E50" s="5" t="s">
        <v>143</v>
      </c>
      <c r="F50" s="5" t="s">
        <v>13</v>
      </c>
      <c r="G50" s="5">
        <f t="shared" si="0"/>
        <v>1</v>
      </c>
      <c r="H50" s="6" t="s">
        <v>144</v>
      </c>
    </row>
    <row r="51" ht="33" spans="1:8">
      <c r="A51" s="27"/>
      <c r="B51" s="27"/>
      <c r="C51" s="28"/>
      <c r="D51" s="5" t="s">
        <v>145</v>
      </c>
      <c r="E51" s="5" t="s">
        <v>146</v>
      </c>
      <c r="F51" s="5" t="s">
        <v>13</v>
      </c>
      <c r="G51" s="5">
        <f t="shared" si="0"/>
        <v>1</v>
      </c>
      <c r="H51" s="6"/>
    </row>
    <row r="52" ht="33" spans="1:8">
      <c r="A52" s="27"/>
      <c r="B52" s="27"/>
      <c r="C52" s="26" t="s">
        <v>147</v>
      </c>
      <c r="D52" s="5" t="s">
        <v>148</v>
      </c>
      <c r="E52" s="5" t="s">
        <v>149</v>
      </c>
      <c r="F52" s="5" t="s">
        <v>13</v>
      </c>
      <c r="G52" s="5">
        <f t="shared" si="0"/>
        <v>1</v>
      </c>
      <c r="H52" s="6"/>
    </row>
    <row r="53" ht="33" spans="1:8">
      <c r="A53" s="27"/>
      <c r="B53" s="27"/>
      <c r="C53" s="27"/>
      <c r="D53" s="5" t="s">
        <v>150</v>
      </c>
      <c r="E53" s="5" t="s">
        <v>151</v>
      </c>
      <c r="F53" s="5" t="s">
        <v>13</v>
      </c>
      <c r="G53" s="5">
        <f t="shared" si="0"/>
        <v>1</v>
      </c>
      <c r="H53" s="6"/>
    </row>
    <row r="54" ht="33" spans="1:8">
      <c r="A54" s="27"/>
      <c r="B54" s="27"/>
      <c r="C54" s="27"/>
      <c r="D54" s="5" t="s">
        <v>152</v>
      </c>
      <c r="E54" s="5" t="s">
        <v>153</v>
      </c>
      <c r="F54" s="5" t="s">
        <v>13</v>
      </c>
      <c r="G54" s="5">
        <f t="shared" si="0"/>
        <v>1</v>
      </c>
      <c r="H54" s="6"/>
    </row>
    <row r="55" ht="33" spans="1:8">
      <c r="A55" s="29"/>
      <c r="B55" s="29"/>
      <c r="C55" s="29"/>
      <c r="D55" s="11" t="s">
        <v>154</v>
      </c>
      <c r="E55" s="11" t="s">
        <v>155</v>
      </c>
      <c r="F55" s="11" t="s">
        <v>51</v>
      </c>
      <c r="G55" s="5">
        <f t="shared" si="0"/>
        <v>0.5</v>
      </c>
      <c r="H55" s="12"/>
    </row>
    <row r="56" ht="33" spans="1:8">
      <c r="A56" s="29"/>
      <c r="B56" s="30"/>
      <c r="C56" s="30"/>
      <c r="D56" s="7" t="s">
        <v>156</v>
      </c>
      <c r="E56" s="7" t="s">
        <v>157</v>
      </c>
      <c r="F56" s="5" t="s">
        <v>13</v>
      </c>
      <c r="G56" s="5">
        <f t="shared" si="0"/>
        <v>1</v>
      </c>
      <c r="H56" s="8"/>
    </row>
    <row r="57" ht="33" spans="1:8">
      <c r="A57" s="27"/>
      <c r="B57" s="26" t="s">
        <v>158</v>
      </c>
      <c r="C57" s="26" t="s">
        <v>159</v>
      </c>
      <c r="D57" s="5" t="s">
        <v>160</v>
      </c>
      <c r="E57" s="5" t="s">
        <v>161</v>
      </c>
      <c r="F57" s="5" t="s">
        <v>13</v>
      </c>
      <c r="G57" s="5">
        <f t="shared" si="0"/>
        <v>1</v>
      </c>
      <c r="H57" s="6"/>
    </row>
    <row r="58" ht="33" spans="1:8">
      <c r="A58" s="27"/>
      <c r="B58" s="27"/>
      <c r="C58" s="27"/>
      <c r="D58" s="5" t="s">
        <v>162</v>
      </c>
      <c r="E58" s="5" t="s">
        <v>163</v>
      </c>
      <c r="F58" s="5" t="s">
        <v>13</v>
      </c>
      <c r="G58" s="5">
        <f t="shared" si="0"/>
        <v>1</v>
      </c>
      <c r="H58" s="6"/>
    </row>
    <row r="59" ht="33" spans="1:8">
      <c r="A59" s="27"/>
      <c r="B59" s="27"/>
      <c r="C59" s="27"/>
      <c r="D59" s="5" t="s">
        <v>164</v>
      </c>
      <c r="E59" s="5" t="s">
        <v>165</v>
      </c>
      <c r="F59" s="5" t="s">
        <v>13</v>
      </c>
      <c r="G59" s="5">
        <f t="shared" si="0"/>
        <v>1</v>
      </c>
      <c r="H59" s="6" t="s">
        <v>166</v>
      </c>
    </row>
    <row r="60" ht="33" spans="1:8">
      <c r="A60" s="27"/>
      <c r="B60" s="27"/>
      <c r="C60" s="27"/>
      <c r="D60" s="5" t="s">
        <v>167</v>
      </c>
      <c r="E60" s="5" t="s">
        <v>168</v>
      </c>
      <c r="F60" s="5" t="s">
        <v>13</v>
      </c>
      <c r="G60" s="5">
        <f t="shared" si="0"/>
        <v>1</v>
      </c>
      <c r="H60" s="6"/>
    </row>
    <row r="61" ht="33" spans="1:8">
      <c r="A61" s="27"/>
      <c r="B61" s="27"/>
      <c r="C61" s="28"/>
      <c r="D61" s="5" t="s">
        <v>169</v>
      </c>
      <c r="E61" s="5" t="s">
        <v>170</v>
      </c>
      <c r="F61" s="5" t="s">
        <v>13</v>
      </c>
      <c r="G61" s="5">
        <f t="shared" si="0"/>
        <v>1</v>
      </c>
      <c r="H61" s="6"/>
    </row>
    <row r="62" ht="16.5" spans="1:8">
      <c r="A62" s="27"/>
      <c r="B62" s="27"/>
      <c r="C62" s="26" t="s">
        <v>171</v>
      </c>
      <c r="D62" s="5" t="s">
        <v>172</v>
      </c>
      <c r="E62" s="5" t="s">
        <v>173</v>
      </c>
      <c r="F62" s="5" t="s">
        <v>13</v>
      </c>
      <c r="G62" s="5">
        <f t="shared" si="0"/>
        <v>1</v>
      </c>
      <c r="H62" s="6"/>
    </row>
    <row r="63" ht="33" spans="1:8">
      <c r="A63" s="27"/>
      <c r="B63" s="27"/>
      <c r="C63" s="27"/>
      <c r="D63" s="5" t="s">
        <v>174</v>
      </c>
      <c r="E63" s="5" t="s">
        <v>175</v>
      </c>
      <c r="F63" s="5" t="s">
        <v>13</v>
      </c>
      <c r="G63" s="5">
        <f t="shared" si="0"/>
        <v>1</v>
      </c>
      <c r="H63" s="6"/>
    </row>
    <row r="64" ht="16.5" spans="1:8">
      <c r="A64" s="27"/>
      <c r="B64" s="27"/>
      <c r="C64" s="27"/>
      <c r="D64" s="5" t="s">
        <v>176</v>
      </c>
      <c r="E64" s="5" t="s">
        <v>177</v>
      </c>
      <c r="F64" s="5" t="s">
        <v>13</v>
      </c>
      <c r="G64" s="5">
        <f t="shared" si="0"/>
        <v>1</v>
      </c>
      <c r="H64" s="6"/>
    </row>
    <row r="65" ht="33" spans="1:8">
      <c r="A65" s="29"/>
      <c r="B65" s="30"/>
      <c r="C65" s="30"/>
      <c r="D65" s="7" t="s">
        <v>178</v>
      </c>
      <c r="E65" s="7" t="s">
        <v>179</v>
      </c>
      <c r="F65" s="5" t="s">
        <v>13</v>
      </c>
      <c r="G65" s="5">
        <f t="shared" si="0"/>
        <v>1</v>
      </c>
      <c r="H65" s="8"/>
    </row>
    <row r="66" ht="16.5" spans="1:8">
      <c r="A66" s="27"/>
      <c r="B66" s="26" t="s">
        <v>180</v>
      </c>
      <c r="C66" s="26" t="s">
        <v>181</v>
      </c>
      <c r="D66" s="5" t="s">
        <v>182</v>
      </c>
      <c r="E66" s="5" t="s">
        <v>183</v>
      </c>
      <c r="F66" s="5" t="s">
        <v>13</v>
      </c>
      <c r="G66" s="5">
        <f t="shared" ref="G66:G124" si="1">IF(F66="符合",1,IF(F66="不符合",0,0.5))</f>
        <v>1</v>
      </c>
      <c r="H66" s="6"/>
    </row>
    <row r="67" ht="16.5" spans="1:8">
      <c r="A67" s="27"/>
      <c r="B67" s="27"/>
      <c r="C67" s="27"/>
      <c r="D67" s="5" t="s">
        <v>184</v>
      </c>
      <c r="E67" s="5" t="s">
        <v>185</v>
      </c>
      <c r="F67" s="5" t="s">
        <v>13</v>
      </c>
      <c r="G67" s="5">
        <f t="shared" si="1"/>
        <v>1</v>
      </c>
      <c r="H67" s="6"/>
    </row>
    <row r="68" ht="33" spans="1:8">
      <c r="A68" s="27"/>
      <c r="B68" s="27"/>
      <c r="C68" s="28"/>
      <c r="D68" s="5" t="s">
        <v>186</v>
      </c>
      <c r="E68" s="5" t="s">
        <v>187</v>
      </c>
      <c r="F68" s="5" t="s">
        <v>13</v>
      </c>
      <c r="G68" s="5">
        <f t="shared" si="1"/>
        <v>1</v>
      </c>
      <c r="H68" s="6"/>
    </row>
    <row r="69" ht="16.5" spans="1:8">
      <c r="A69" s="27"/>
      <c r="B69" s="27"/>
      <c r="C69" s="26" t="s">
        <v>188</v>
      </c>
      <c r="D69" s="5" t="s">
        <v>189</v>
      </c>
      <c r="E69" s="5" t="s">
        <v>190</v>
      </c>
      <c r="F69" s="5" t="s">
        <v>13</v>
      </c>
      <c r="G69" s="5">
        <f t="shared" si="1"/>
        <v>1</v>
      </c>
      <c r="H69" s="6"/>
    </row>
    <row r="70" ht="16.5" spans="1:8">
      <c r="A70" s="27"/>
      <c r="B70" s="27"/>
      <c r="C70" s="27"/>
      <c r="D70" s="5" t="s">
        <v>191</v>
      </c>
      <c r="E70" s="5" t="s">
        <v>192</v>
      </c>
      <c r="F70" s="5" t="s">
        <v>13</v>
      </c>
      <c r="G70" s="5">
        <f t="shared" si="1"/>
        <v>1</v>
      </c>
      <c r="H70" s="6"/>
    </row>
    <row r="71" ht="33" spans="1:8">
      <c r="A71" s="27"/>
      <c r="B71" s="27"/>
      <c r="C71" s="28"/>
      <c r="D71" s="5" t="s">
        <v>193</v>
      </c>
      <c r="E71" s="5" t="s">
        <v>194</v>
      </c>
      <c r="F71" s="5" t="s">
        <v>13</v>
      </c>
      <c r="G71" s="5">
        <f t="shared" si="1"/>
        <v>1</v>
      </c>
      <c r="H71" s="6" t="s">
        <v>195</v>
      </c>
    </row>
    <row r="72" ht="33" spans="1:8">
      <c r="A72" s="27"/>
      <c r="B72" s="27"/>
      <c r="C72" s="26" t="s">
        <v>196</v>
      </c>
      <c r="D72" s="5" t="s">
        <v>197</v>
      </c>
      <c r="E72" s="5" t="s">
        <v>198</v>
      </c>
      <c r="F72" s="5" t="s">
        <v>13</v>
      </c>
      <c r="G72" s="5">
        <f t="shared" si="1"/>
        <v>1</v>
      </c>
      <c r="H72" s="6"/>
    </row>
    <row r="73" ht="33" spans="1:8">
      <c r="A73" s="28"/>
      <c r="B73" s="28"/>
      <c r="C73" s="28"/>
      <c r="D73" s="5" t="s">
        <v>199</v>
      </c>
      <c r="E73" s="5" t="s">
        <v>200</v>
      </c>
      <c r="F73" s="5" t="s">
        <v>13</v>
      </c>
      <c r="G73" s="5">
        <f t="shared" si="1"/>
        <v>1</v>
      </c>
      <c r="H73" s="6"/>
    </row>
    <row r="74" ht="33" spans="1:8">
      <c r="A74" s="31" t="s">
        <v>201</v>
      </c>
      <c r="B74" s="31" t="s">
        <v>202</v>
      </c>
      <c r="C74" s="31" t="s">
        <v>203</v>
      </c>
      <c r="D74" s="7" t="s">
        <v>204</v>
      </c>
      <c r="E74" s="7" t="s">
        <v>205</v>
      </c>
      <c r="F74" s="5" t="s">
        <v>13</v>
      </c>
      <c r="G74" s="5">
        <f t="shared" si="1"/>
        <v>1</v>
      </c>
      <c r="H74" s="8" t="s">
        <v>206</v>
      </c>
    </row>
    <row r="75" ht="33" spans="1:8">
      <c r="A75" s="29"/>
      <c r="B75" s="29"/>
      <c r="C75" s="30"/>
      <c r="D75" s="5" t="s">
        <v>207</v>
      </c>
      <c r="E75" s="5" t="s">
        <v>208</v>
      </c>
      <c r="F75" s="5" t="s">
        <v>13</v>
      </c>
      <c r="G75" s="5">
        <f t="shared" si="1"/>
        <v>1</v>
      </c>
      <c r="H75" s="6" t="s">
        <v>209</v>
      </c>
    </row>
    <row r="76" ht="33" spans="1:8">
      <c r="A76" s="29"/>
      <c r="B76" s="29"/>
      <c r="C76" s="26" t="s">
        <v>210</v>
      </c>
      <c r="D76" s="5" t="s">
        <v>211</v>
      </c>
      <c r="E76" s="5" t="s">
        <v>212</v>
      </c>
      <c r="F76" s="5" t="s">
        <v>13</v>
      </c>
      <c r="G76" s="5">
        <f t="shared" si="1"/>
        <v>1</v>
      </c>
      <c r="H76" s="6"/>
    </row>
    <row r="77" ht="33" spans="1:8">
      <c r="A77" s="29"/>
      <c r="B77" s="29"/>
      <c r="C77" s="27"/>
      <c r="D77" s="5" t="s">
        <v>213</v>
      </c>
      <c r="E77" s="5" t="s">
        <v>214</v>
      </c>
      <c r="F77" s="5" t="s">
        <v>13</v>
      </c>
      <c r="G77" s="5">
        <f t="shared" si="1"/>
        <v>1</v>
      </c>
      <c r="H77" s="6"/>
    </row>
    <row r="78" ht="33" spans="1:8">
      <c r="A78" s="29"/>
      <c r="B78" s="29"/>
      <c r="C78" s="29"/>
      <c r="D78" s="11" t="s">
        <v>215</v>
      </c>
      <c r="E78" s="11" t="s">
        <v>216</v>
      </c>
      <c r="F78" s="11" t="s">
        <v>51</v>
      </c>
      <c r="G78" s="5">
        <f t="shared" si="1"/>
        <v>0.5</v>
      </c>
      <c r="H78" s="12" t="s">
        <v>217</v>
      </c>
    </row>
    <row r="79" ht="33" spans="1:8">
      <c r="A79" s="29"/>
      <c r="B79" s="30"/>
      <c r="C79" s="30"/>
      <c r="D79" s="7" t="s">
        <v>218</v>
      </c>
      <c r="E79" s="7" t="s">
        <v>219</v>
      </c>
      <c r="F79" s="5" t="s">
        <v>13</v>
      </c>
      <c r="G79" s="5">
        <f t="shared" si="1"/>
        <v>1</v>
      </c>
      <c r="H79" s="8"/>
    </row>
    <row r="80" ht="16.5" spans="1:8">
      <c r="A80" s="29"/>
      <c r="B80" s="31" t="s">
        <v>220</v>
      </c>
      <c r="C80" s="31" t="s">
        <v>221</v>
      </c>
      <c r="D80" s="7" t="s">
        <v>222</v>
      </c>
      <c r="E80" s="7" t="s">
        <v>223</v>
      </c>
      <c r="F80" s="5" t="s">
        <v>13</v>
      </c>
      <c r="G80" s="5">
        <f t="shared" si="1"/>
        <v>1</v>
      </c>
      <c r="H80" s="8"/>
    </row>
    <row r="81" ht="16.5" spans="1:8">
      <c r="A81" s="29"/>
      <c r="B81" s="29"/>
      <c r="C81" s="29"/>
      <c r="D81" s="5" t="s">
        <v>224</v>
      </c>
      <c r="E81" s="5" t="s">
        <v>225</v>
      </c>
      <c r="F81" s="5" t="s">
        <v>13</v>
      </c>
      <c r="G81" s="5">
        <f t="shared" si="1"/>
        <v>1</v>
      </c>
      <c r="H81" s="6" t="s">
        <v>226</v>
      </c>
    </row>
    <row r="82" ht="33" spans="1:8">
      <c r="A82" s="29"/>
      <c r="B82" s="29"/>
      <c r="C82" s="30"/>
      <c r="D82" s="5" t="s">
        <v>227</v>
      </c>
      <c r="E82" s="5" t="s">
        <v>228</v>
      </c>
      <c r="F82" s="5" t="s">
        <v>13</v>
      </c>
      <c r="G82" s="5">
        <f t="shared" si="1"/>
        <v>1</v>
      </c>
      <c r="H82" s="6"/>
    </row>
    <row r="83" ht="16.5" spans="1:8">
      <c r="A83" s="29"/>
      <c r="B83" s="29"/>
      <c r="C83" s="26" t="s">
        <v>229</v>
      </c>
      <c r="D83" s="5" t="s">
        <v>230</v>
      </c>
      <c r="E83" s="5" t="s">
        <v>231</v>
      </c>
      <c r="F83" s="5" t="s">
        <v>13</v>
      </c>
      <c r="G83" s="5">
        <f t="shared" si="1"/>
        <v>1</v>
      </c>
      <c r="H83" s="6"/>
    </row>
    <row r="84" ht="16.5" spans="1:8">
      <c r="A84" s="29"/>
      <c r="B84" s="29"/>
      <c r="C84" s="27"/>
      <c r="D84" s="5" t="s">
        <v>232</v>
      </c>
      <c r="E84" s="13" t="s">
        <v>233</v>
      </c>
      <c r="F84" s="5" t="s">
        <v>13</v>
      </c>
      <c r="G84" s="5">
        <f t="shared" si="1"/>
        <v>1</v>
      </c>
      <c r="H84" s="6"/>
    </row>
    <row r="85" ht="16.5" spans="1:8">
      <c r="A85" s="29"/>
      <c r="B85" s="29"/>
      <c r="C85" s="29"/>
      <c r="D85" s="7" t="s">
        <v>234</v>
      </c>
      <c r="E85" s="7" t="s">
        <v>235</v>
      </c>
      <c r="F85" s="5" t="s">
        <v>13</v>
      </c>
      <c r="G85" s="5">
        <f t="shared" si="1"/>
        <v>1</v>
      </c>
      <c r="H85" s="8"/>
    </row>
    <row r="86" ht="16.5" spans="1:8">
      <c r="A86" s="29"/>
      <c r="B86" s="29"/>
      <c r="C86" s="28"/>
      <c r="D86" s="5" t="s">
        <v>234</v>
      </c>
      <c r="E86" s="5" t="s">
        <v>236</v>
      </c>
      <c r="F86" s="5" t="s">
        <v>13</v>
      </c>
      <c r="G86" s="5">
        <f t="shared" si="1"/>
        <v>1</v>
      </c>
      <c r="H86" s="6"/>
    </row>
    <row r="87" ht="33" spans="1:8">
      <c r="A87" s="29"/>
      <c r="B87" s="29"/>
      <c r="C87" s="31" t="s">
        <v>237</v>
      </c>
      <c r="D87" s="7" t="s">
        <v>238</v>
      </c>
      <c r="E87" s="7" t="s">
        <v>239</v>
      </c>
      <c r="F87" s="5" t="s">
        <v>13</v>
      </c>
      <c r="G87" s="5">
        <f t="shared" si="1"/>
        <v>1</v>
      </c>
      <c r="H87" s="8"/>
    </row>
    <row r="88" ht="33" spans="1:8">
      <c r="A88" s="29"/>
      <c r="B88" s="29"/>
      <c r="C88" s="29"/>
      <c r="D88" s="5" t="s">
        <v>240</v>
      </c>
      <c r="E88" s="5" t="s">
        <v>241</v>
      </c>
      <c r="F88" s="5" t="s">
        <v>13</v>
      </c>
      <c r="G88" s="5">
        <f t="shared" si="1"/>
        <v>1</v>
      </c>
      <c r="H88" s="6"/>
    </row>
    <row r="89" ht="33" spans="1:8">
      <c r="A89" s="30"/>
      <c r="B89" s="30"/>
      <c r="C89" s="30"/>
      <c r="D89" s="5" t="s">
        <v>242</v>
      </c>
      <c r="E89" s="5" t="s">
        <v>243</v>
      </c>
      <c r="F89" s="5" t="s">
        <v>13</v>
      </c>
      <c r="G89" s="5">
        <f t="shared" si="1"/>
        <v>1</v>
      </c>
      <c r="H89" s="6"/>
    </row>
    <row r="90" ht="33" spans="1:8">
      <c r="A90" s="26" t="s">
        <v>244</v>
      </c>
      <c r="B90" s="26" t="s">
        <v>245</v>
      </c>
      <c r="C90" s="5" t="s">
        <v>246</v>
      </c>
      <c r="D90" s="5" t="s">
        <v>247</v>
      </c>
      <c r="E90" s="5" t="s">
        <v>248</v>
      </c>
      <c r="F90" s="5" t="s">
        <v>13</v>
      </c>
      <c r="G90" s="5">
        <f t="shared" si="1"/>
        <v>1</v>
      </c>
      <c r="H90" s="6"/>
    </row>
    <row r="91" ht="33" spans="1:8">
      <c r="A91" s="27"/>
      <c r="B91" s="27"/>
      <c r="C91" s="26" t="s">
        <v>249</v>
      </c>
      <c r="D91" s="5" t="s">
        <v>250</v>
      </c>
      <c r="E91" s="5" t="s">
        <v>251</v>
      </c>
      <c r="F91" s="5" t="s">
        <v>13</v>
      </c>
      <c r="G91" s="5">
        <f t="shared" si="1"/>
        <v>1</v>
      </c>
      <c r="H91" s="6"/>
    </row>
    <row r="92" ht="33" spans="1:8">
      <c r="A92" s="27"/>
      <c r="B92" s="27"/>
      <c r="C92" s="27"/>
      <c r="D92" s="5" t="s">
        <v>252</v>
      </c>
      <c r="E92" s="5" t="s">
        <v>253</v>
      </c>
      <c r="F92" s="5" t="s">
        <v>13</v>
      </c>
      <c r="G92" s="5">
        <f t="shared" si="1"/>
        <v>1</v>
      </c>
      <c r="H92" s="6"/>
    </row>
    <row r="93" ht="33" spans="1:8">
      <c r="A93" s="29"/>
      <c r="B93" s="29"/>
      <c r="C93" s="29"/>
      <c r="D93" s="7" t="s">
        <v>254</v>
      </c>
      <c r="E93" s="7" t="s">
        <v>255</v>
      </c>
      <c r="F93" s="5" t="s">
        <v>13</v>
      </c>
      <c r="G93" s="5">
        <f t="shared" si="1"/>
        <v>1</v>
      </c>
      <c r="H93" s="8"/>
    </row>
    <row r="94" ht="33" spans="1:8">
      <c r="A94" s="29"/>
      <c r="B94" s="29"/>
      <c r="C94" s="29"/>
      <c r="D94" s="7" t="s">
        <v>256</v>
      </c>
      <c r="E94" s="7" t="s">
        <v>257</v>
      </c>
      <c r="F94" s="5" t="s">
        <v>13</v>
      </c>
      <c r="G94" s="5">
        <f t="shared" si="1"/>
        <v>1</v>
      </c>
      <c r="H94" s="8"/>
    </row>
    <row r="95" ht="33" spans="1:8">
      <c r="A95" s="27"/>
      <c r="B95" s="27"/>
      <c r="C95" s="28"/>
      <c r="D95" s="5" t="s">
        <v>258</v>
      </c>
      <c r="E95" s="5" t="s">
        <v>259</v>
      </c>
      <c r="F95" s="5" t="s">
        <v>13</v>
      </c>
      <c r="G95" s="5">
        <f t="shared" si="1"/>
        <v>1</v>
      </c>
      <c r="H95" s="6"/>
    </row>
    <row r="96" ht="33" spans="1:8">
      <c r="A96" s="29"/>
      <c r="B96" s="29"/>
      <c r="C96" s="31" t="s">
        <v>260</v>
      </c>
      <c r="D96" s="7" t="s">
        <v>261</v>
      </c>
      <c r="E96" s="7" t="s">
        <v>262</v>
      </c>
      <c r="F96" s="5" t="s">
        <v>13</v>
      </c>
      <c r="G96" s="5">
        <f t="shared" si="1"/>
        <v>1</v>
      </c>
      <c r="H96" s="8" t="s">
        <v>263</v>
      </c>
    </row>
    <row r="97" ht="16.5" spans="1:8">
      <c r="A97" s="27"/>
      <c r="B97" s="27"/>
      <c r="C97" s="29"/>
      <c r="D97" s="5" t="s">
        <v>264</v>
      </c>
      <c r="E97" s="5" t="s">
        <v>265</v>
      </c>
      <c r="F97" s="5" t="s">
        <v>13</v>
      </c>
      <c r="G97" s="5">
        <f t="shared" si="1"/>
        <v>1</v>
      </c>
      <c r="H97" s="6"/>
    </row>
    <row r="98" ht="33" spans="1:8">
      <c r="A98" s="27"/>
      <c r="B98" s="27"/>
      <c r="C98" s="29"/>
      <c r="D98" s="5" t="s">
        <v>266</v>
      </c>
      <c r="E98" s="5" t="s">
        <v>267</v>
      </c>
      <c r="F98" s="5" t="s">
        <v>13</v>
      </c>
      <c r="G98" s="5">
        <f t="shared" si="1"/>
        <v>1</v>
      </c>
      <c r="H98" s="6"/>
    </row>
    <row r="99" ht="16.5" spans="1:8">
      <c r="A99" s="27"/>
      <c r="B99" s="27"/>
      <c r="C99" s="29"/>
      <c r="D99" s="5" t="s">
        <v>268</v>
      </c>
      <c r="E99" s="5" t="s">
        <v>269</v>
      </c>
      <c r="F99" s="5" t="s">
        <v>13</v>
      </c>
      <c r="G99" s="5">
        <f t="shared" si="1"/>
        <v>1</v>
      </c>
      <c r="H99" s="6"/>
    </row>
    <row r="100" ht="33" spans="1:8">
      <c r="A100" s="27"/>
      <c r="B100" s="27"/>
      <c r="C100" s="29"/>
      <c r="D100" s="5" t="s">
        <v>270</v>
      </c>
      <c r="E100" s="5" t="s">
        <v>271</v>
      </c>
      <c r="F100" s="5" t="s">
        <v>13</v>
      </c>
      <c r="G100" s="5">
        <f t="shared" si="1"/>
        <v>1</v>
      </c>
      <c r="H100" s="6" t="s">
        <v>272</v>
      </c>
    </row>
    <row r="101" ht="33" spans="1:8">
      <c r="A101" s="27"/>
      <c r="B101" s="28"/>
      <c r="C101" s="30"/>
      <c r="D101" s="5" t="s">
        <v>273</v>
      </c>
      <c r="E101" s="5" t="s">
        <v>274</v>
      </c>
      <c r="F101" s="5" t="s">
        <v>13</v>
      </c>
      <c r="G101" s="5">
        <f t="shared" si="1"/>
        <v>1</v>
      </c>
      <c r="H101" s="6"/>
    </row>
    <row r="102" ht="33" spans="1:8">
      <c r="A102" s="27"/>
      <c r="B102" s="26" t="s">
        <v>275</v>
      </c>
      <c r="C102" s="26" t="s">
        <v>276</v>
      </c>
      <c r="D102" s="5" t="s">
        <v>277</v>
      </c>
      <c r="E102" s="5" t="s">
        <v>278</v>
      </c>
      <c r="F102" s="5" t="s">
        <v>13</v>
      </c>
      <c r="G102" s="5">
        <f t="shared" si="1"/>
        <v>1</v>
      </c>
      <c r="H102" s="6"/>
    </row>
    <row r="103" ht="49.5" spans="1:8">
      <c r="A103" s="29"/>
      <c r="B103" s="29"/>
      <c r="C103" s="29"/>
      <c r="D103" s="7" t="s">
        <v>279</v>
      </c>
      <c r="E103" s="7" t="s">
        <v>280</v>
      </c>
      <c r="F103" s="5" t="s">
        <v>13</v>
      </c>
      <c r="G103" s="5">
        <f t="shared" si="1"/>
        <v>1</v>
      </c>
      <c r="H103" s="8"/>
    </row>
    <row r="104" ht="33" spans="1:8">
      <c r="A104" s="27"/>
      <c r="B104" s="27"/>
      <c r="C104" s="28"/>
      <c r="D104" s="5" t="s">
        <v>281</v>
      </c>
      <c r="E104" s="5" t="s">
        <v>282</v>
      </c>
      <c r="F104" s="5" t="s">
        <v>13</v>
      </c>
      <c r="G104" s="5">
        <f t="shared" si="1"/>
        <v>1</v>
      </c>
      <c r="H104" s="6"/>
    </row>
    <row r="105" ht="16.5" spans="1:8">
      <c r="A105" s="27"/>
      <c r="B105" s="27"/>
      <c r="C105" s="26" t="s">
        <v>283</v>
      </c>
      <c r="D105" s="5" t="s">
        <v>284</v>
      </c>
      <c r="E105" s="5" t="s">
        <v>285</v>
      </c>
      <c r="F105" s="5" t="s">
        <v>13</v>
      </c>
      <c r="G105" s="5">
        <f t="shared" si="1"/>
        <v>1</v>
      </c>
      <c r="H105" s="6"/>
    </row>
    <row r="106" ht="33" spans="1:8">
      <c r="A106" s="27"/>
      <c r="B106" s="27"/>
      <c r="C106" s="27"/>
      <c r="D106" s="5" t="s">
        <v>286</v>
      </c>
      <c r="E106" s="5" t="s">
        <v>287</v>
      </c>
      <c r="F106" s="5" t="s">
        <v>13</v>
      </c>
      <c r="G106" s="5">
        <f t="shared" si="1"/>
        <v>1</v>
      </c>
      <c r="H106" s="6"/>
    </row>
    <row r="107" ht="16.5" spans="1:8">
      <c r="A107" s="27"/>
      <c r="B107" s="27"/>
      <c r="C107" s="27"/>
      <c r="D107" s="5" t="s">
        <v>286</v>
      </c>
      <c r="E107" s="5" t="s">
        <v>288</v>
      </c>
      <c r="F107" s="5" t="s">
        <v>13</v>
      </c>
      <c r="G107" s="5">
        <f t="shared" si="1"/>
        <v>1</v>
      </c>
      <c r="H107" s="6"/>
    </row>
    <row r="108" ht="16.5" spans="1:8">
      <c r="A108" s="29"/>
      <c r="B108" s="29"/>
      <c r="C108" s="30"/>
      <c r="D108" s="9" t="s">
        <v>289</v>
      </c>
      <c r="E108" s="9" t="s">
        <v>290</v>
      </c>
      <c r="F108" s="9" t="s">
        <v>41</v>
      </c>
      <c r="G108" s="5">
        <f t="shared" si="1"/>
        <v>0</v>
      </c>
      <c r="H108" s="10"/>
    </row>
    <row r="109" ht="33" spans="1:8">
      <c r="A109" s="27"/>
      <c r="B109" s="27"/>
      <c r="C109" s="26" t="s">
        <v>291</v>
      </c>
      <c r="D109" s="5" t="s">
        <v>292</v>
      </c>
      <c r="E109" s="5" t="s">
        <v>293</v>
      </c>
      <c r="F109" s="5" t="s">
        <v>13</v>
      </c>
      <c r="G109" s="5">
        <f t="shared" si="1"/>
        <v>1</v>
      </c>
      <c r="H109" s="6"/>
    </row>
    <row r="110" ht="16.5" spans="1:8">
      <c r="A110" s="29"/>
      <c r="B110" s="29"/>
      <c r="C110" s="29"/>
      <c r="D110" s="7" t="s">
        <v>294</v>
      </c>
      <c r="E110" s="7" t="s">
        <v>295</v>
      </c>
      <c r="F110" s="5" t="s">
        <v>13</v>
      </c>
      <c r="G110" s="5">
        <f t="shared" si="1"/>
        <v>1</v>
      </c>
      <c r="H110" s="8"/>
    </row>
    <row r="111" ht="16.5" spans="1:8">
      <c r="A111" s="28"/>
      <c r="B111" s="28"/>
      <c r="C111" s="28"/>
      <c r="D111" s="5" t="s">
        <v>294</v>
      </c>
      <c r="E111" s="5" t="s">
        <v>296</v>
      </c>
      <c r="F111" s="5" t="s">
        <v>13</v>
      </c>
      <c r="G111" s="5">
        <f t="shared" si="1"/>
        <v>1</v>
      </c>
      <c r="H111" s="6" t="s">
        <v>297</v>
      </c>
    </row>
    <row r="112" ht="33" spans="1:8">
      <c r="A112" s="26" t="s">
        <v>298</v>
      </c>
      <c r="B112" s="26" t="s">
        <v>299</v>
      </c>
      <c r="C112" s="26" t="s">
        <v>300</v>
      </c>
      <c r="D112" s="5" t="s">
        <v>301</v>
      </c>
      <c r="E112" s="5" t="s">
        <v>302</v>
      </c>
      <c r="F112" s="5" t="s">
        <v>13</v>
      </c>
      <c r="G112" s="5">
        <f t="shared" si="1"/>
        <v>1</v>
      </c>
      <c r="H112" s="6"/>
    </row>
    <row r="113" ht="33" spans="1:8">
      <c r="A113" s="27"/>
      <c r="B113" s="27"/>
      <c r="C113" s="27"/>
      <c r="D113" s="5" t="s">
        <v>303</v>
      </c>
      <c r="E113" s="5" t="s">
        <v>304</v>
      </c>
      <c r="F113" s="5" t="s">
        <v>13</v>
      </c>
      <c r="G113" s="5">
        <f t="shared" si="1"/>
        <v>1</v>
      </c>
      <c r="H113" s="6"/>
    </row>
    <row r="114" ht="33" spans="1:8">
      <c r="A114" s="29"/>
      <c r="B114" s="29"/>
      <c r="C114" s="30"/>
      <c r="D114" s="11" t="s">
        <v>305</v>
      </c>
      <c r="E114" s="11" t="s">
        <v>306</v>
      </c>
      <c r="F114" s="11" t="s">
        <v>51</v>
      </c>
      <c r="G114" s="5">
        <f t="shared" si="1"/>
        <v>0.5</v>
      </c>
      <c r="H114" s="12"/>
    </row>
    <row r="115" ht="33" spans="1:8">
      <c r="A115" s="27"/>
      <c r="B115" s="27"/>
      <c r="C115" s="26" t="s">
        <v>307</v>
      </c>
      <c r="D115" s="5" t="s">
        <v>308</v>
      </c>
      <c r="E115" s="5" t="s">
        <v>309</v>
      </c>
      <c r="F115" s="5" t="s">
        <v>13</v>
      </c>
      <c r="G115" s="5">
        <f t="shared" si="1"/>
        <v>1</v>
      </c>
      <c r="H115" s="6"/>
    </row>
    <row r="116" ht="33" spans="1:8">
      <c r="A116" s="27"/>
      <c r="B116" s="28"/>
      <c r="C116" s="28"/>
      <c r="D116" s="5" t="s">
        <v>308</v>
      </c>
      <c r="E116" s="5" t="s">
        <v>310</v>
      </c>
      <c r="F116" s="5" t="s">
        <v>13</v>
      </c>
      <c r="G116" s="5">
        <f t="shared" si="1"/>
        <v>1</v>
      </c>
      <c r="H116" s="6"/>
    </row>
    <row r="117" ht="16.5" spans="1:8">
      <c r="A117" s="27"/>
      <c r="B117" s="26" t="s">
        <v>311</v>
      </c>
      <c r="C117" s="26" t="s">
        <v>312</v>
      </c>
      <c r="D117" s="5" t="s">
        <v>313</v>
      </c>
      <c r="E117" s="5" t="s">
        <v>314</v>
      </c>
      <c r="F117" s="5" t="s">
        <v>13</v>
      </c>
      <c r="G117" s="5">
        <f t="shared" si="1"/>
        <v>1</v>
      </c>
      <c r="H117" s="6"/>
    </row>
    <row r="118" ht="49.5" spans="1:8">
      <c r="A118" s="27"/>
      <c r="B118" s="27"/>
      <c r="C118" s="27"/>
      <c r="D118" s="5" t="s">
        <v>315</v>
      </c>
      <c r="E118" s="5" t="s">
        <v>316</v>
      </c>
      <c r="F118" s="5" t="s">
        <v>13</v>
      </c>
      <c r="G118" s="5">
        <f t="shared" si="1"/>
        <v>1</v>
      </c>
      <c r="H118" s="6"/>
    </row>
    <row r="119" ht="16.5" spans="1:8">
      <c r="A119" s="27"/>
      <c r="B119" s="27"/>
      <c r="C119" s="28"/>
      <c r="D119" s="5" t="s">
        <v>317</v>
      </c>
      <c r="E119" s="5" t="s">
        <v>318</v>
      </c>
      <c r="F119" s="5" t="s">
        <v>13</v>
      </c>
      <c r="G119" s="5">
        <f t="shared" si="1"/>
        <v>1</v>
      </c>
      <c r="H119" s="5"/>
    </row>
    <row r="120" ht="33" spans="1:8">
      <c r="A120" s="27"/>
      <c r="B120" s="27"/>
      <c r="C120" s="26" t="s">
        <v>319</v>
      </c>
      <c r="D120" s="5" t="s">
        <v>320</v>
      </c>
      <c r="E120" s="5" t="s">
        <v>321</v>
      </c>
      <c r="F120" s="5" t="s">
        <v>13</v>
      </c>
      <c r="G120" s="5">
        <f t="shared" si="1"/>
        <v>1</v>
      </c>
      <c r="H120" s="5"/>
    </row>
    <row r="121" ht="33" spans="1:8">
      <c r="A121" s="27"/>
      <c r="B121" s="27"/>
      <c r="C121" s="27"/>
      <c r="D121" s="5" t="s">
        <v>322</v>
      </c>
      <c r="E121" s="5" t="s">
        <v>323</v>
      </c>
      <c r="F121" s="5" t="s">
        <v>13</v>
      </c>
      <c r="G121" s="5">
        <f t="shared" si="1"/>
        <v>1</v>
      </c>
      <c r="H121" s="5"/>
    </row>
    <row r="122" ht="33" spans="1:8">
      <c r="A122" s="29"/>
      <c r="B122" s="29"/>
      <c r="C122" s="29"/>
      <c r="D122" s="7" t="s">
        <v>324</v>
      </c>
      <c r="E122" s="7" t="s">
        <v>325</v>
      </c>
      <c r="F122" s="5" t="s">
        <v>13</v>
      </c>
      <c r="G122" s="5">
        <f t="shared" si="1"/>
        <v>1</v>
      </c>
      <c r="H122" s="14" t="s">
        <v>326</v>
      </c>
    </row>
    <row r="123" ht="33" spans="1:8">
      <c r="A123" s="27"/>
      <c r="B123" s="27"/>
      <c r="C123" s="27"/>
      <c r="D123" s="5" t="s">
        <v>327</v>
      </c>
      <c r="E123" s="5" t="s">
        <v>328</v>
      </c>
      <c r="F123" s="5" t="s">
        <v>13</v>
      </c>
      <c r="G123" s="5">
        <f t="shared" si="1"/>
        <v>1</v>
      </c>
      <c r="H123" s="15"/>
    </row>
    <row r="124" ht="33" spans="1:8">
      <c r="A124" s="28"/>
      <c r="B124" s="28"/>
      <c r="C124" s="28"/>
      <c r="D124" s="5" t="s">
        <v>329</v>
      </c>
      <c r="E124" s="5" t="s">
        <v>330</v>
      </c>
      <c r="F124" s="5" t="s">
        <v>13</v>
      </c>
      <c r="G124" s="5">
        <f t="shared" si="1"/>
        <v>1</v>
      </c>
      <c r="H124" s="15" t="s">
        <v>331</v>
      </c>
    </row>
  </sheetData>
  <autoFilter ref="A1:H118">
    <extLst/>
  </autoFilter>
  <mergeCells count="52">
    <mergeCell ref="A2:A22"/>
    <mergeCell ref="A23:A47"/>
    <mergeCell ref="A48:A73"/>
    <mergeCell ref="A74:A89"/>
    <mergeCell ref="A90:A111"/>
    <mergeCell ref="A112:A124"/>
    <mergeCell ref="B2:B7"/>
    <mergeCell ref="B8:B22"/>
    <mergeCell ref="B23:B35"/>
    <mergeCell ref="B36:B39"/>
    <mergeCell ref="B40:B47"/>
    <mergeCell ref="B48:B56"/>
    <mergeCell ref="B57:B65"/>
    <mergeCell ref="B66:B73"/>
    <mergeCell ref="B74:B79"/>
    <mergeCell ref="B80:B89"/>
    <mergeCell ref="B90:B101"/>
    <mergeCell ref="B102:B111"/>
    <mergeCell ref="B112:B116"/>
    <mergeCell ref="B117:B124"/>
    <mergeCell ref="C2:C3"/>
    <mergeCell ref="C4:C5"/>
    <mergeCell ref="C6:C7"/>
    <mergeCell ref="C9:C13"/>
    <mergeCell ref="C14:C18"/>
    <mergeCell ref="C19:C22"/>
    <mergeCell ref="C23:C28"/>
    <mergeCell ref="C29:C35"/>
    <mergeCell ref="C38:C39"/>
    <mergeCell ref="C40:C42"/>
    <mergeCell ref="C43:C47"/>
    <mergeCell ref="C48:C51"/>
    <mergeCell ref="C52:C56"/>
    <mergeCell ref="C57:C61"/>
    <mergeCell ref="C62:C65"/>
    <mergeCell ref="C66:C68"/>
    <mergeCell ref="C69:C71"/>
    <mergeCell ref="C72:C73"/>
    <mergeCell ref="C74:C75"/>
    <mergeCell ref="C76:C79"/>
    <mergeCell ref="C80:C82"/>
    <mergeCell ref="C83:C86"/>
    <mergeCell ref="C87:C89"/>
    <mergeCell ref="C91:C95"/>
    <mergeCell ref="C96:C101"/>
    <mergeCell ref="C102:C104"/>
    <mergeCell ref="C105:C108"/>
    <mergeCell ref="C109:C111"/>
    <mergeCell ref="C112:C114"/>
    <mergeCell ref="C115:C116"/>
    <mergeCell ref="C117:C119"/>
    <mergeCell ref="C120:C124"/>
  </mergeCells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3:F37"/>
  <sheetViews>
    <sheetView topLeftCell="A4" workbookViewId="0">
      <selection activeCell="A16" sqref="A16"/>
    </sheetView>
  </sheetViews>
  <sheetFormatPr defaultColWidth="9" defaultRowHeight="14.25" outlineLevelCol="5"/>
  <cols>
    <col min="1" max="1" width="15.625"/>
    <col min="2" max="5" width="10.875"/>
    <col min="6" max="6" width="5.125"/>
    <col min="7" max="7" width="15.625"/>
    <col min="8" max="10" width="10.875"/>
    <col min="11" max="11" width="5.125"/>
  </cols>
  <sheetData>
    <row r="3" spans="1:3">
      <c r="A3" t="s">
        <v>332</v>
      </c>
      <c r="B3" t="s">
        <v>333</v>
      </c>
      <c r="C3" t="s">
        <v>334</v>
      </c>
    </row>
    <row r="4" spans="1:3">
      <c r="A4" s="17" t="s">
        <v>8</v>
      </c>
      <c r="B4" s="18">
        <v>16</v>
      </c>
      <c r="C4" s="18">
        <v>21</v>
      </c>
    </row>
    <row r="5" spans="1:3">
      <c r="A5" s="17" t="s">
        <v>298</v>
      </c>
      <c r="B5" s="18">
        <v>6.5</v>
      </c>
      <c r="C5" s="18">
        <v>7</v>
      </c>
    </row>
    <row r="6" spans="1:3">
      <c r="A6" s="17" t="s">
        <v>244</v>
      </c>
      <c r="B6" s="18">
        <v>21</v>
      </c>
      <c r="C6" s="18">
        <v>22</v>
      </c>
    </row>
    <row r="7" spans="1:3">
      <c r="A7" s="17" t="s">
        <v>69</v>
      </c>
      <c r="B7" s="18">
        <v>22</v>
      </c>
      <c r="C7" s="18">
        <v>25</v>
      </c>
    </row>
    <row r="8" spans="1:3">
      <c r="A8" s="17" t="s">
        <v>201</v>
      </c>
      <c r="B8" s="18">
        <v>15.5</v>
      </c>
      <c r="C8" s="18">
        <v>16</v>
      </c>
    </row>
    <row r="9" spans="1:3">
      <c r="A9" s="17" t="s">
        <v>135</v>
      </c>
      <c r="B9" s="18">
        <v>25.5</v>
      </c>
      <c r="C9" s="18">
        <v>26</v>
      </c>
    </row>
    <row r="10" spans="1:3">
      <c r="A10" s="17" t="s">
        <v>335</v>
      </c>
      <c r="B10" s="18">
        <v>106.5</v>
      </c>
      <c r="C10" s="18">
        <v>117</v>
      </c>
    </row>
    <row r="13" spans="1:2">
      <c r="A13" t="s">
        <v>336</v>
      </c>
      <c r="B13" t="s">
        <v>5</v>
      </c>
    </row>
    <row r="14" spans="1:6">
      <c r="A14" t="s">
        <v>0</v>
      </c>
      <c r="B14" t="s">
        <v>41</v>
      </c>
      <c r="C14" t="s">
        <v>13</v>
      </c>
      <c r="D14" t="s">
        <v>51</v>
      </c>
      <c r="E14" t="s">
        <v>59</v>
      </c>
      <c r="F14" t="s">
        <v>335</v>
      </c>
    </row>
    <row r="15" spans="1:6">
      <c r="A15" t="s">
        <v>8</v>
      </c>
      <c r="B15">
        <v>4</v>
      </c>
      <c r="C15">
        <v>15</v>
      </c>
      <c r="D15">
        <v>1</v>
      </c>
      <c r="E15">
        <v>1</v>
      </c>
      <c r="F15">
        <v>21</v>
      </c>
    </row>
    <row r="16" spans="1:6">
      <c r="A16" t="s">
        <v>298</v>
      </c>
      <c r="C16">
        <v>12</v>
      </c>
      <c r="D16">
        <v>1</v>
      </c>
      <c r="E16"/>
      <c r="F16">
        <v>13</v>
      </c>
    </row>
    <row r="17" spans="1:6">
      <c r="A17" t="s">
        <v>244</v>
      </c>
      <c r="B17">
        <v>1</v>
      </c>
      <c r="C17">
        <v>21</v>
      </c>
      <c r="D17"/>
      <c r="E17"/>
      <c r="F17">
        <v>22</v>
      </c>
    </row>
    <row r="18" spans="1:6">
      <c r="A18" t="s">
        <v>69</v>
      </c>
      <c r="B18">
        <v>1</v>
      </c>
      <c r="C18">
        <v>20</v>
      </c>
      <c r="D18">
        <v>4</v>
      </c>
      <c r="E18"/>
      <c r="F18">
        <v>25</v>
      </c>
    </row>
    <row r="19" spans="1:6">
      <c r="A19" t="s">
        <v>201</v>
      </c>
      <c r="C19">
        <v>15</v>
      </c>
      <c r="D19">
        <v>1</v>
      </c>
      <c r="E19"/>
      <c r="F19">
        <v>16</v>
      </c>
    </row>
    <row r="20" spans="1:6">
      <c r="A20" t="s">
        <v>135</v>
      </c>
      <c r="C20">
        <v>25</v>
      </c>
      <c r="D20">
        <v>1</v>
      </c>
      <c r="E20"/>
      <c r="F20">
        <v>26</v>
      </c>
    </row>
    <row r="21" spans="1:6">
      <c r="A21" t="s">
        <v>335</v>
      </c>
      <c r="B21">
        <v>6</v>
      </c>
      <c r="C21">
        <v>108</v>
      </c>
      <c r="D21">
        <v>8</v>
      </c>
      <c r="E21">
        <v>1</v>
      </c>
      <c r="F21">
        <v>123</v>
      </c>
    </row>
    <row r="22" spans="1:5">
      <c r="A22" s="19"/>
      <c r="B22" s="20"/>
      <c r="C22" s="20"/>
      <c r="D22" s="20"/>
      <c r="E22" s="20"/>
    </row>
    <row r="28" spans="4:4">
      <c r="D28" s="21"/>
    </row>
    <row r="29" spans="4:4">
      <c r="D29" s="21"/>
    </row>
    <row r="30" spans="4:4">
      <c r="D30" s="21"/>
    </row>
    <row r="31" spans="1:4">
      <c r="A31" t="s">
        <v>332</v>
      </c>
      <c r="B31" t="s">
        <v>333</v>
      </c>
      <c r="C31" t="s">
        <v>334</v>
      </c>
      <c r="D31" s="21"/>
    </row>
    <row r="32" spans="1:4">
      <c r="A32" t="s">
        <v>8</v>
      </c>
      <c r="B32">
        <v>16</v>
      </c>
      <c r="C32">
        <v>21</v>
      </c>
      <c r="D32" s="21">
        <f t="shared" ref="D32:D37" si="0">B32/C32</f>
        <v>0.761904761904762</v>
      </c>
    </row>
    <row r="33" spans="1:4">
      <c r="A33" t="s">
        <v>298</v>
      </c>
      <c r="B33">
        <v>6.5</v>
      </c>
      <c r="C33">
        <v>7</v>
      </c>
      <c r="D33" s="21">
        <f t="shared" si="0"/>
        <v>0.928571428571429</v>
      </c>
    </row>
    <row r="34" spans="1:4">
      <c r="A34" t="s">
        <v>244</v>
      </c>
      <c r="B34">
        <v>21</v>
      </c>
      <c r="C34">
        <v>22</v>
      </c>
      <c r="D34" s="21">
        <f t="shared" si="0"/>
        <v>0.954545454545455</v>
      </c>
    </row>
    <row r="35" spans="1:4">
      <c r="A35" t="s">
        <v>69</v>
      </c>
      <c r="B35">
        <v>22</v>
      </c>
      <c r="C35">
        <v>25</v>
      </c>
      <c r="D35" s="21">
        <f t="shared" si="0"/>
        <v>0.88</v>
      </c>
    </row>
    <row r="36" spans="1:4">
      <c r="A36" t="s">
        <v>201</v>
      </c>
      <c r="B36">
        <v>15.5</v>
      </c>
      <c r="C36">
        <v>16</v>
      </c>
      <c r="D36" s="21">
        <f t="shared" si="0"/>
        <v>0.96875</v>
      </c>
    </row>
    <row r="37" spans="1:4">
      <c r="A37" t="s">
        <v>135</v>
      </c>
      <c r="B37">
        <v>25.5</v>
      </c>
      <c r="C37">
        <v>26</v>
      </c>
      <c r="D37" s="21">
        <f t="shared" si="0"/>
        <v>0.980769230769231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125"/>
  <sheetViews>
    <sheetView topLeftCell="A95" workbookViewId="0">
      <selection activeCell="C100" sqref="A1:H124"/>
    </sheetView>
  </sheetViews>
  <sheetFormatPr defaultColWidth="9" defaultRowHeight="14.25" outlineLevelCol="7"/>
  <cols>
    <col min="1" max="1" width="14.875" customWidth="1"/>
    <col min="2" max="2" width="14.375" customWidth="1"/>
    <col min="3" max="3" width="37.625" customWidth="1"/>
    <col min="4" max="4" width="15.75" customWidth="1"/>
    <col min="5" max="5" width="74.5" customWidth="1"/>
    <col min="6" max="7" width="9" style="1"/>
    <col min="8" max="8" width="21.625" style="1" customWidth="1"/>
  </cols>
  <sheetData>
    <row r="1" ht="16.5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ht="33" spans="1:8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f>IF(F2="符合",1,IF(F2="不符合",0,0.5))</f>
        <v>1</v>
      </c>
      <c r="H2" s="6" t="s">
        <v>14</v>
      </c>
    </row>
    <row r="3" ht="16.5" spans="1:8">
      <c r="A3" s="5" t="s">
        <v>8</v>
      </c>
      <c r="B3" s="5" t="s">
        <v>9</v>
      </c>
      <c r="C3" s="5" t="s">
        <v>10</v>
      </c>
      <c r="D3" s="5" t="s">
        <v>15</v>
      </c>
      <c r="E3" s="5" t="s">
        <v>16</v>
      </c>
      <c r="F3" s="5" t="s">
        <v>13</v>
      </c>
      <c r="G3" s="5">
        <f t="shared" ref="G3:G34" si="0">IF(F3="符合",1,IF(F3="不符合",0,0.5))</f>
        <v>1</v>
      </c>
      <c r="H3" s="6"/>
    </row>
    <row r="4" ht="16.5" spans="1:8">
      <c r="A4" s="5" t="s">
        <v>8</v>
      </c>
      <c r="B4" s="5" t="s">
        <v>9</v>
      </c>
      <c r="C4" s="5" t="s">
        <v>17</v>
      </c>
      <c r="D4" s="5" t="s">
        <v>18</v>
      </c>
      <c r="E4" s="5" t="s">
        <v>19</v>
      </c>
      <c r="F4" s="5" t="s">
        <v>13</v>
      </c>
      <c r="G4" s="5">
        <f t="shared" si="0"/>
        <v>1</v>
      </c>
      <c r="H4" s="6"/>
    </row>
    <row r="5" ht="16.5" spans="1:8">
      <c r="A5" s="7" t="s">
        <v>8</v>
      </c>
      <c r="B5" s="7" t="s">
        <v>9</v>
      </c>
      <c r="C5" s="7" t="s">
        <v>17</v>
      </c>
      <c r="D5" s="7" t="s">
        <v>20</v>
      </c>
      <c r="E5" s="7" t="s">
        <v>21</v>
      </c>
      <c r="F5" s="5" t="s">
        <v>13</v>
      </c>
      <c r="G5" s="5">
        <f t="shared" si="0"/>
        <v>1</v>
      </c>
      <c r="H5" s="8"/>
    </row>
    <row r="6" ht="16.5" spans="1:8">
      <c r="A6" s="5" t="s">
        <v>8</v>
      </c>
      <c r="B6" s="5" t="s">
        <v>9</v>
      </c>
      <c r="C6" s="5" t="s">
        <v>22</v>
      </c>
      <c r="D6" s="5" t="s">
        <v>23</v>
      </c>
      <c r="E6" s="5" t="s">
        <v>24</v>
      </c>
      <c r="F6" s="5" t="s">
        <v>13</v>
      </c>
      <c r="G6" s="5">
        <f t="shared" si="0"/>
        <v>1</v>
      </c>
      <c r="H6" s="6"/>
    </row>
    <row r="7" ht="16.5" spans="1:8">
      <c r="A7" s="5" t="s">
        <v>8</v>
      </c>
      <c r="B7" s="5" t="s">
        <v>9</v>
      </c>
      <c r="C7" s="5" t="s">
        <v>22</v>
      </c>
      <c r="D7" s="5" t="s">
        <v>25</v>
      </c>
      <c r="E7" s="5" t="s">
        <v>26</v>
      </c>
      <c r="F7" s="5" t="s">
        <v>13</v>
      </c>
      <c r="G7" s="5">
        <f t="shared" si="0"/>
        <v>1</v>
      </c>
      <c r="H7" s="6"/>
    </row>
    <row r="8" ht="33" spans="1:8">
      <c r="A8" s="5" t="s">
        <v>8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13</v>
      </c>
      <c r="G8" s="5">
        <f t="shared" si="0"/>
        <v>1</v>
      </c>
      <c r="H8" s="6" t="s">
        <v>31</v>
      </c>
    </row>
    <row r="9" ht="16.5" spans="1:8">
      <c r="A9" s="5" t="s">
        <v>8</v>
      </c>
      <c r="B9" s="5" t="s">
        <v>27</v>
      </c>
      <c r="C9" s="5" t="s">
        <v>32</v>
      </c>
      <c r="D9" s="5" t="s">
        <v>33</v>
      </c>
      <c r="E9" s="5" t="s">
        <v>34</v>
      </c>
      <c r="F9" s="5" t="s">
        <v>13</v>
      </c>
      <c r="G9" s="5">
        <f t="shared" si="0"/>
        <v>1</v>
      </c>
      <c r="H9" s="6"/>
    </row>
    <row r="10" ht="16.5" spans="1:8">
      <c r="A10" s="5" t="s">
        <v>8</v>
      </c>
      <c r="B10" s="5" t="s">
        <v>27</v>
      </c>
      <c r="C10" s="5" t="s">
        <v>32</v>
      </c>
      <c r="D10" s="5" t="s">
        <v>35</v>
      </c>
      <c r="E10" s="5" t="s">
        <v>36</v>
      </c>
      <c r="F10" s="5" t="s">
        <v>13</v>
      </c>
      <c r="G10" s="5">
        <f t="shared" si="0"/>
        <v>1</v>
      </c>
      <c r="H10" s="6"/>
    </row>
    <row r="11" ht="16.5" spans="1:8">
      <c r="A11" s="5" t="s">
        <v>8</v>
      </c>
      <c r="B11" s="5" t="s">
        <v>27</v>
      </c>
      <c r="C11" s="5" t="s">
        <v>32</v>
      </c>
      <c r="D11" s="5" t="s">
        <v>37</v>
      </c>
      <c r="E11" s="5" t="s">
        <v>38</v>
      </c>
      <c r="F11" s="5" t="s">
        <v>13</v>
      </c>
      <c r="G11" s="5">
        <f t="shared" si="0"/>
        <v>1</v>
      </c>
      <c r="H11" s="6"/>
    </row>
    <row r="12" ht="16.5" spans="1:8">
      <c r="A12" s="9" t="s">
        <v>8</v>
      </c>
      <c r="B12" s="9" t="s">
        <v>27</v>
      </c>
      <c r="C12" s="9" t="s">
        <v>32</v>
      </c>
      <c r="D12" s="9" t="s">
        <v>39</v>
      </c>
      <c r="E12" s="9" t="s">
        <v>40</v>
      </c>
      <c r="F12" s="9" t="s">
        <v>41</v>
      </c>
      <c r="G12" s="5">
        <f t="shared" si="0"/>
        <v>0</v>
      </c>
      <c r="H12" s="10"/>
    </row>
    <row r="13" ht="16.5" spans="1:8">
      <c r="A13" s="9" t="s">
        <v>8</v>
      </c>
      <c r="B13" s="9" t="s">
        <v>27</v>
      </c>
      <c r="C13" s="9" t="s">
        <v>32</v>
      </c>
      <c r="D13" s="9" t="s">
        <v>42</v>
      </c>
      <c r="E13" s="9" t="s">
        <v>43</v>
      </c>
      <c r="F13" s="9" t="s">
        <v>41</v>
      </c>
      <c r="G13" s="5">
        <f t="shared" si="0"/>
        <v>0</v>
      </c>
      <c r="H13" s="10" t="s">
        <v>44</v>
      </c>
    </row>
    <row r="14" ht="16.5" spans="1:8">
      <c r="A14" s="9" t="s">
        <v>8</v>
      </c>
      <c r="B14" s="9" t="s">
        <v>27</v>
      </c>
      <c r="C14" s="9" t="s">
        <v>45</v>
      </c>
      <c r="D14" s="9" t="s">
        <v>46</v>
      </c>
      <c r="E14" s="9" t="s">
        <v>47</v>
      </c>
      <c r="F14" s="9" t="s">
        <v>41</v>
      </c>
      <c r="G14" s="5">
        <f t="shared" si="0"/>
        <v>0</v>
      </c>
      <c r="H14" s="10" t="s">
        <v>48</v>
      </c>
    </row>
    <row r="15" ht="16.5" spans="1:8">
      <c r="A15" s="11" t="s">
        <v>8</v>
      </c>
      <c r="B15" s="11" t="s">
        <v>27</v>
      </c>
      <c r="C15" s="11" t="s">
        <v>45</v>
      </c>
      <c r="D15" s="11" t="s">
        <v>49</v>
      </c>
      <c r="E15" s="11" t="s">
        <v>50</v>
      </c>
      <c r="F15" s="11" t="s">
        <v>51</v>
      </c>
      <c r="G15" s="5">
        <f t="shared" si="0"/>
        <v>0.5</v>
      </c>
      <c r="H15" s="12" t="s">
        <v>52</v>
      </c>
    </row>
    <row r="16" ht="16.5" spans="1:8">
      <c r="A16" s="9" t="s">
        <v>8</v>
      </c>
      <c r="B16" s="9" t="s">
        <v>27</v>
      </c>
      <c r="C16" s="9" t="s">
        <v>45</v>
      </c>
      <c r="D16" s="9" t="s">
        <v>53</v>
      </c>
      <c r="E16" s="9" t="s">
        <v>54</v>
      </c>
      <c r="F16" s="9" t="s">
        <v>41</v>
      </c>
      <c r="G16" s="5">
        <f t="shared" si="0"/>
        <v>0</v>
      </c>
      <c r="H16" s="10"/>
    </row>
    <row r="17" ht="16.5" spans="1:8">
      <c r="A17" s="5" t="s">
        <v>8</v>
      </c>
      <c r="B17" s="5" t="s">
        <v>27</v>
      </c>
      <c r="C17" s="5" t="s">
        <v>45</v>
      </c>
      <c r="D17" s="5" t="s">
        <v>55</v>
      </c>
      <c r="E17" s="5" t="s">
        <v>56</v>
      </c>
      <c r="F17" s="5" t="s">
        <v>13</v>
      </c>
      <c r="G17" s="5">
        <f t="shared" si="0"/>
        <v>1</v>
      </c>
      <c r="H17" s="6"/>
    </row>
    <row r="18" ht="16.5" spans="1:8">
      <c r="A18" s="7" t="s">
        <v>8</v>
      </c>
      <c r="B18" s="7" t="s">
        <v>27</v>
      </c>
      <c r="C18" s="7" t="s">
        <v>45</v>
      </c>
      <c r="D18" s="7" t="s">
        <v>57</v>
      </c>
      <c r="E18" s="7" t="s">
        <v>58</v>
      </c>
      <c r="F18" s="7" t="s">
        <v>59</v>
      </c>
      <c r="G18" s="5">
        <f t="shared" si="0"/>
        <v>0.5</v>
      </c>
      <c r="H18" s="8"/>
    </row>
    <row r="19" ht="16.5" spans="1:8">
      <c r="A19" s="5" t="s">
        <v>8</v>
      </c>
      <c r="B19" s="5" t="s">
        <v>27</v>
      </c>
      <c r="C19" s="5" t="s">
        <v>60</v>
      </c>
      <c r="D19" s="5" t="s">
        <v>61</v>
      </c>
      <c r="E19" s="5" t="s">
        <v>62</v>
      </c>
      <c r="F19" s="5" t="s">
        <v>13</v>
      </c>
      <c r="G19" s="5">
        <f t="shared" si="0"/>
        <v>1</v>
      </c>
      <c r="H19" s="6"/>
    </row>
    <row r="20" ht="16.5" spans="1:8">
      <c r="A20" s="7" t="s">
        <v>8</v>
      </c>
      <c r="B20" s="7" t="s">
        <v>27</v>
      </c>
      <c r="C20" s="7" t="s">
        <v>60</v>
      </c>
      <c r="D20" s="7" t="s">
        <v>63</v>
      </c>
      <c r="E20" s="7" t="s">
        <v>64</v>
      </c>
      <c r="F20" s="7" t="s">
        <v>13</v>
      </c>
      <c r="G20" s="5">
        <f t="shared" si="0"/>
        <v>1</v>
      </c>
      <c r="H20" s="8"/>
    </row>
    <row r="21" ht="16.5" spans="1:8">
      <c r="A21" s="7" t="s">
        <v>8</v>
      </c>
      <c r="B21" s="7" t="s">
        <v>27</v>
      </c>
      <c r="C21" s="7" t="s">
        <v>60</v>
      </c>
      <c r="D21" s="7" t="s">
        <v>65</v>
      </c>
      <c r="E21" s="7" t="s">
        <v>66</v>
      </c>
      <c r="F21" s="7" t="s">
        <v>13</v>
      </c>
      <c r="G21" s="5">
        <f t="shared" si="0"/>
        <v>1</v>
      </c>
      <c r="H21" s="8"/>
    </row>
    <row r="22" ht="16.5" spans="1:8">
      <c r="A22" s="5" t="s">
        <v>8</v>
      </c>
      <c r="B22" s="5" t="s">
        <v>27</v>
      </c>
      <c r="C22" s="5" t="s">
        <v>60</v>
      </c>
      <c r="D22" s="5" t="s">
        <v>67</v>
      </c>
      <c r="E22" s="5" t="s">
        <v>68</v>
      </c>
      <c r="F22" s="5" t="s">
        <v>13</v>
      </c>
      <c r="G22" s="5">
        <f t="shared" si="0"/>
        <v>1</v>
      </c>
      <c r="H22" s="6"/>
    </row>
    <row r="23" ht="33" spans="1:8">
      <c r="A23" s="11" t="s">
        <v>69</v>
      </c>
      <c r="B23" s="11" t="s">
        <v>70</v>
      </c>
      <c r="C23" s="11" t="s">
        <v>71</v>
      </c>
      <c r="D23" s="11" t="s">
        <v>72</v>
      </c>
      <c r="E23" s="11" t="s">
        <v>73</v>
      </c>
      <c r="F23" s="11" t="s">
        <v>51</v>
      </c>
      <c r="G23" s="5">
        <f t="shared" si="0"/>
        <v>0.5</v>
      </c>
      <c r="H23" s="12" t="s">
        <v>74</v>
      </c>
    </row>
    <row r="24" ht="16.5" spans="1:8">
      <c r="A24" s="5" t="s">
        <v>69</v>
      </c>
      <c r="B24" s="5" t="s">
        <v>70</v>
      </c>
      <c r="C24" s="5" t="s">
        <v>71</v>
      </c>
      <c r="D24" s="5" t="s">
        <v>75</v>
      </c>
      <c r="E24" s="5" t="s">
        <v>76</v>
      </c>
      <c r="F24" s="5" t="s">
        <v>13</v>
      </c>
      <c r="G24" s="5">
        <f t="shared" si="0"/>
        <v>1</v>
      </c>
      <c r="H24" s="6"/>
    </row>
    <row r="25" ht="16.5" spans="1:8">
      <c r="A25" s="5" t="s">
        <v>69</v>
      </c>
      <c r="B25" s="5" t="s">
        <v>70</v>
      </c>
      <c r="C25" s="5" t="s">
        <v>71</v>
      </c>
      <c r="D25" s="5" t="s">
        <v>77</v>
      </c>
      <c r="E25" s="5" t="s">
        <v>78</v>
      </c>
      <c r="F25" s="5" t="s">
        <v>13</v>
      </c>
      <c r="G25" s="5">
        <f t="shared" si="0"/>
        <v>1</v>
      </c>
      <c r="H25" s="6"/>
    </row>
    <row r="26" ht="16.5" spans="1:8">
      <c r="A26" s="5" t="s">
        <v>69</v>
      </c>
      <c r="B26" s="5" t="s">
        <v>70</v>
      </c>
      <c r="C26" s="5" t="s">
        <v>71</v>
      </c>
      <c r="D26" s="5" t="s">
        <v>79</v>
      </c>
      <c r="E26" s="5" t="s">
        <v>80</v>
      </c>
      <c r="F26" s="5" t="s">
        <v>13</v>
      </c>
      <c r="G26" s="5">
        <f t="shared" si="0"/>
        <v>1</v>
      </c>
      <c r="H26" s="6"/>
    </row>
    <row r="27" ht="16.5" spans="1:8">
      <c r="A27" s="5" t="s">
        <v>69</v>
      </c>
      <c r="B27" s="5" t="s">
        <v>70</v>
      </c>
      <c r="C27" s="5" t="s">
        <v>71</v>
      </c>
      <c r="D27" s="5" t="s">
        <v>81</v>
      </c>
      <c r="E27" s="5" t="s">
        <v>82</v>
      </c>
      <c r="F27" s="5" t="s">
        <v>13</v>
      </c>
      <c r="G27" s="5">
        <f t="shared" si="0"/>
        <v>1</v>
      </c>
      <c r="H27" s="6"/>
    </row>
    <row r="28" ht="16.5" spans="1:8">
      <c r="A28" s="5" t="s">
        <v>69</v>
      </c>
      <c r="B28" s="5" t="s">
        <v>70</v>
      </c>
      <c r="C28" s="5" t="s">
        <v>71</v>
      </c>
      <c r="D28" s="5" t="s">
        <v>83</v>
      </c>
      <c r="E28" s="5" t="s">
        <v>84</v>
      </c>
      <c r="F28" s="5" t="s">
        <v>13</v>
      </c>
      <c r="G28" s="5">
        <f t="shared" si="0"/>
        <v>1</v>
      </c>
      <c r="H28" s="6"/>
    </row>
    <row r="29" ht="16.5" spans="1:8">
      <c r="A29" s="5" t="s">
        <v>69</v>
      </c>
      <c r="B29" s="5" t="s">
        <v>70</v>
      </c>
      <c r="C29" s="5" t="s">
        <v>85</v>
      </c>
      <c r="D29" s="5" t="s">
        <v>86</v>
      </c>
      <c r="E29" s="5" t="s">
        <v>87</v>
      </c>
      <c r="F29" s="5" t="s">
        <v>13</v>
      </c>
      <c r="G29" s="5">
        <f t="shared" si="0"/>
        <v>1</v>
      </c>
      <c r="H29" s="6"/>
    </row>
    <row r="30" ht="16.5" spans="1:8">
      <c r="A30" s="5" t="s">
        <v>69</v>
      </c>
      <c r="B30" s="5" t="s">
        <v>70</v>
      </c>
      <c r="C30" s="5" t="s">
        <v>85</v>
      </c>
      <c r="D30" s="5" t="s">
        <v>88</v>
      </c>
      <c r="E30" s="5" t="s">
        <v>89</v>
      </c>
      <c r="F30" s="5" t="s">
        <v>13</v>
      </c>
      <c r="G30" s="5">
        <f t="shared" si="0"/>
        <v>1</v>
      </c>
      <c r="H30" s="6"/>
    </row>
    <row r="31" ht="33" spans="1:8">
      <c r="A31" s="5" t="s">
        <v>69</v>
      </c>
      <c r="B31" s="5" t="s">
        <v>70</v>
      </c>
      <c r="C31" s="5" t="s">
        <v>85</v>
      </c>
      <c r="D31" s="5" t="s">
        <v>90</v>
      </c>
      <c r="E31" s="5" t="s">
        <v>91</v>
      </c>
      <c r="F31" s="5" t="s">
        <v>13</v>
      </c>
      <c r="G31" s="5">
        <f t="shared" si="0"/>
        <v>1</v>
      </c>
      <c r="H31" s="6" t="s">
        <v>92</v>
      </c>
    </row>
    <row r="32" ht="16.5" spans="1:8">
      <c r="A32" s="5" t="s">
        <v>69</v>
      </c>
      <c r="B32" s="5" t="s">
        <v>70</v>
      </c>
      <c r="C32" s="5" t="s">
        <v>85</v>
      </c>
      <c r="D32" s="5" t="s">
        <v>93</v>
      </c>
      <c r="E32" s="5" t="s">
        <v>94</v>
      </c>
      <c r="F32" s="5" t="s">
        <v>13</v>
      </c>
      <c r="G32" s="5">
        <f t="shared" si="0"/>
        <v>1</v>
      </c>
      <c r="H32" s="6"/>
    </row>
    <row r="33" ht="16.5" spans="1:8">
      <c r="A33" s="5" t="s">
        <v>69</v>
      </c>
      <c r="B33" s="5" t="s">
        <v>70</v>
      </c>
      <c r="C33" s="5" t="s">
        <v>85</v>
      </c>
      <c r="D33" s="5" t="s">
        <v>95</v>
      </c>
      <c r="E33" s="5" t="s">
        <v>96</v>
      </c>
      <c r="F33" s="5" t="s">
        <v>13</v>
      </c>
      <c r="G33" s="5">
        <f t="shared" si="0"/>
        <v>1</v>
      </c>
      <c r="H33" s="6"/>
    </row>
    <row r="34" ht="16.5" spans="1:8">
      <c r="A34" s="5" t="s">
        <v>69</v>
      </c>
      <c r="B34" s="5" t="s">
        <v>70</v>
      </c>
      <c r="C34" s="5" t="s">
        <v>85</v>
      </c>
      <c r="D34" s="5" t="s">
        <v>97</v>
      </c>
      <c r="E34" s="5" t="s">
        <v>98</v>
      </c>
      <c r="F34" s="5" t="s">
        <v>13</v>
      </c>
      <c r="G34" s="5">
        <f t="shared" si="0"/>
        <v>1</v>
      </c>
      <c r="H34" s="6"/>
    </row>
    <row r="35" ht="16.5" spans="1:8">
      <c r="A35" s="5" t="s">
        <v>69</v>
      </c>
      <c r="B35" s="5" t="s">
        <v>70</v>
      </c>
      <c r="C35" s="5" t="s">
        <v>85</v>
      </c>
      <c r="D35" s="5" t="s">
        <v>99</v>
      </c>
      <c r="E35" s="5" t="s">
        <v>100</v>
      </c>
      <c r="F35" s="5" t="s">
        <v>13</v>
      </c>
      <c r="G35" s="5">
        <f t="shared" ref="G35:G66" si="1">IF(F35="符合",1,IF(F35="不符合",0,0.5))</f>
        <v>1</v>
      </c>
      <c r="H35" s="6"/>
    </row>
    <row r="36" ht="16.5" spans="1:8">
      <c r="A36" s="7" t="s">
        <v>69</v>
      </c>
      <c r="B36" s="7" t="s">
        <v>101</v>
      </c>
      <c r="C36" s="7" t="s">
        <v>102</v>
      </c>
      <c r="D36" s="7" t="s">
        <v>103</v>
      </c>
      <c r="E36" s="7" t="s">
        <v>104</v>
      </c>
      <c r="F36" s="5" t="s">
        <v>13</v>
      </c>
      <c r="G36" s="5">
        <f t="shared" si="1"/>
        <v>1</v>
      </c>
      <c r="H36" s="8"/>
    </row>
    <row r="37" ht="16.5" spans="1:8">
      <c r="A37" s="5" t="s">
        <v>69</v>
      </c>
      <c r="B37" s="5" t="s">
        <v>101</v>
      </c>
      <c r="C37" s="5" t="s">
        <v>105</v>
      </c>
      <c r="D37" s="5" t="s">
        <v>105</v>
      </c>
      <c r="E37" s="5" t="s">
        <v>106</v>
      </c>
      <c r="F37" s="5" t="s">
        <v>13</v>
      </c>
      <c r="G37" s="5">
        <f t="shared" si="1"/>
        <v>1</v>
      </c>
      <c r="H37" s="6"/>
    </row>
    <row r="38" ht="33" spans="1:8">
      <c r="A38" s="5" t="s">
        <v>69</v>
      </c>
      <c r="B38" s="5" t="s">
        <v>101</v>
      </c>
      <c r="C38" s="5" t="s">
        <v>107</v>
      </c>
      <c r="D38" s="5" t="s">
        <v>108</v>
      </c>
      <c r="E38" s="5" t="s">
        <v>109</v>
      </c>
      <c r="F38" s="5" t="s">
        <v>13</v>
      </c>
      <c r="G38" s="5">
        <f t="shared" si="1"/>
        <v>1</v>
      </c>
      <c r="H38" s="6" t="s">
        <v>110</v>
      </c>
    </row>
    <row r="39" ht="33" spans="1:8">
      <c r="A39" s="11" t="s">
        <v>69</v>
      </c>
      <c r="B39" s="11" t="s">
        <v>101</v>
      </c>
      <c r="C39" s="11" t="s">
        <v>107</v>
      </c>
      <c r="D39" s="11" t="s">
        <v>111</v>
      </c>
      <c r="E39" s="11" t="s">
        <v>112</v>
      </c>
      <c r="F39" s="11" t="s">
        <v>51</v>
      </c>
      <c r="G39" s="5">
        <f t="shared" si="1"/>
        <v>0.5</v>
      </c>
      <c r="H39" s="12" t="s">
        <v>113</v>
      </c>
    </row>
    <row r="40" ht="16.5" spans="1:8">
      <c r="A40" s="5" t="s">
        <v>69</v>
      </c>
      <c r="B40" s="5" t="s">
        <v>114</v>
      </c>
      <c r="C40" s="5" t="s">
        <v>115</v>
      </c>
      <c r="D40" s="5" t="s">
        <v>116</v>
      </c>
      <c r="E40" s="5" t="s">
        <v>117</v>
      </c>
      <c r="F40" s="5" t="s">
        <v>13</v>
      </c>
      <c r="G40" s="5">
        <f t="shared" si="1"/>
        <v>1</v>
      </c>
      <c r="H40" s="6"/>
    </row>
    <row r="41" ht="16.5" spans="1:8">
      <c r="A41" s="5" t="s">
        <v>69</v>
      </c>
      <c r="B41" s="5" t="s">
        <v>114</v>
      </c>
      <c r="C41" s="5" t="s">
        <v>115</v>
      </c>
      <c r="D41" s="5" t="s">
        <v>118</v>
      </c>
      <c r="E41" s="5" t="s">
        <v>119</v>
      </c>
      <c r="F41" s="5" t="s">
        <v>13</v>
      </c>
      <c r="G41" s="5">
        <f t="shared" si="1"/>
        <v>1</v>
      </c>
      <c r="H41" s="6"/>
    </row>
    <row r="42" ht="16.5" spans="1:8">
      <c r="A42" s="11" t="s">
        <v>69</v>
      </c>
      <c r="B42" s="11" t="s">
        <v>114</v>
      </c>
      <c r="C42" s="11" t="s">
        <v>115</v>
      </c>
      <c r="D42" s="11" t="s">
        <v>120</v>
      </c>
      <c r="E42" s="11" t="s">
        <v>121</v>
      </c>
      <c r="F42" s="11" t="s">
        <v>51</v>
      </c>
      <c r="G42" s="5">
        <f t="shared" si="1"/>
        <v>0.5</v>
      </c>
      <c r="H42" s="12"/>
    </row>
    <row r="43" ht="16.5" spans="1:8">
      <c r="A43" s="5" t="s">
        <v>69</v>
      </c>
      <c r="B43" s="5" t="s">
        <v>114</v>
      </c>
      <c r="C43" s="5" t="s">
        <v>122</v>
      </c>
      <c r="D43" s="5" t="s">
        <v>123</v>
      </c>
      <c r="E43" s="5" t="s">
        <v>124</v>
      </c>
      <c r="F43" s="5" t="s">
        <v>13</v>
      </c>
      <c r="G43" s="5">
        <f t="shared" si="1"/>
        <v>1</v>
      </c>
      <c r="H43" s="6"/>
    </row>
    <row r="44" ht="16.5" spans="1:8">
      <c r="A44" s="5" t="s">
        <v>69</v>
      </c>
      <c r="B44" s="5" t="s">
        <v>114</v>
      </c>
      <c r="C44" s="5" t="s">
        <v>122</v>
      </c>
      <c r="D44" s="5" t="s">
        <v>125</v>
      </c>
      <c r="E44" s="5" t="s">
        <v>126</v>
      </c>
      <c r="F44" s="5" t="s">
        <v>13</v>
      </c>
      <c r="G44" s="5">
        <f t="shared" si="1"/>
        <v>1</v>
      </c>
      <c r="H44" s="6"/>
    </row>
    <row r="45" ht="49.5" spans="1:8">
      <c r="A45" s="11" t="s">
        <v>69</v>
      </c>
      <c r="B45" s="11" t="s">
        <v>114</v>
      </c>
      <c r="C45" s="11" t="s">
        <v>122</v>
      </c>
      <c r="D45" s="11" t="s">
        <v>127</v>
      </c>
      <c r="E45" s="11" t="s">
        <v>128</v>
      </c>
      <c r="F45" s="11" t="s">
        <v>51</v>
      </c>
      <c r="G45" s="5">
        <f t="shared" si="1"/>
        <v>0.5</v>
      </c>
      <c r="H45" s="12" t="s">
        <v>129</v>
      </c>
    </row>
    <row r="46" ht="33" spans="1:8">
      <c r="A46" s="7" t="s">
        <v>69</v>
      </c>
      <c r="B46" s="7" t="s">
        <v>114</v>
      </c>
      <c r="C46" s="7" t="s">
        <v>122</v>
      </c>
      <c r="D46" s="7" t="s">
        <v>130</v>
      </c>
      <c r="E46" s="7" t="s">
        <v>131</v>
      </c>
      <c r="F46" s="5" t="s">
        <v>13</v>
      </c>
      <c r="G46" s="5">
        <f t="shared" si="1"/>
        <v>1</v>
      </c>
      <c r="H46" s="8" t="s">
        <v>132</v>
      </c>
    </row>
    <row r="47" ht="16.5" spans="1:8">
      <c r="A47" s="9" t="s">
        <v>69</v>
      </c>
      <c r="B47" s="9" t="s">
        <v>114</v>
      </c>
      <c r="C47" s="9" t="s">
        <v>122</v>
      </c>
      <c r="D47" s="9" t="s">
        <v>133</v>
      </c>
      <c r="E47" s="9" t="s">
        <v>134</v>
      </c>
      <c r="F47" s="9" t="s">
        <v>41</v>
      </c>
      <c r="G47" s="5">
        <f t="shared" si="1"/>
        <v>0</v>
      </c>
      <c r="H47" s="10"/>
    </row>
    <row r="48" ht="16.5" spans="1:8">
      <c r="A48" s="5" t="s">
        <v>135</v>
      </c>
      <c r="B48" s="5" t="s">
        <v>136</v>
      </c>
      <c r="C48" s="5" t="s">
        <v>137</v>
      </c>
      <c r="D48" s="5" t="s">
        <v>138</v>
      </c>
      <c r="E48" s="5" t="s">
        <v>139</v>
      </c>
      <c r="F48" s="5" t="s">
        <v>13</v>
      </c>
      <c r="G48" s="5">
        <f t="shared" si="1"/>
        <v>1</v>
      </c>
      <c r="H48" s="6"/>
    </row>
    <row r="49" ht="16.5" spans="1:8">
      <c r="A49" s="5" t="s">
        <v>135</v>
      </c>
      <c r="B49" s="5" t="s">
        <v>136</v>
      </c>
      <c r="C49" s="5" t="s">
        <v>137</v>
      </c>
      <c r="D49" s="5" t="s">
        <v>140</v>
      </c>
      <c r="E49" s="5" t="s">
        <v>141</v>
      </c>
      <c r="F49" s="5" t="s">
        <v>13</v>
      </c>
      <c r="G49" s="5">
        <f t="shared" si="1"/>
        <v>1</v>
      </c>
      <c r="H49" s="6"/>
    </row>
    <row r="50" ht="33" spans="1:8">
      <c r="A50" s="5" t="s">
        <v>135</v>
      </c>
      <c r="B50" s="5" t="s">
        <v>136</v>
      </c>
      <c r="C50" s="5" t="s">
        <v>137</v>
      </c>
      <c r="D50" s="5" t="s">
        <v>142</v>
      </c>
      <c r="E50" s="5" t="s">
        <v>143</v>
      </c>
      <c r="F50" s="5" t="s">
        <v>13</v>
      </c>
      <c r="G50" s="5">
        <f t="shared" si="1"/>
        <v>1</v>
      </c>
      <c r="H50" s="6" t="s">
        <v>144</v>
      </c>
    </row>
    <row r="51" ht="16.5" spans="1:8">
      <c r="A51" s="5" t="s">
        <v>135</v>
      </c>
      <c r="B51" s="5" t="s">
        <v>136</v>
      </c>
      <c r="C51" s="5" t="s">
        <v>137</v>
      </c>
      <c r="D51" s="5" t="s">
        <v>145</v>
      </c>
      <c r="E51" s="5" t="s">
        <v>146</v>
      </c>
      <c r="F51" s="5" t="s">
        <v>13</v>
      </c>
      <c r="G51" s="5">
        <f t="shared" si="1"/>
        <v>1</v>
      </c>
      <c r="H51" s="6"/>
    </row>
    <row r="52" ht="16.5" spans="1:8">
      <c r="A52" s="5" t="s">
        <v>135</v>
      </c>
      <c r="B52" s="5" t="s">
        <v>136</v>
      </c>
      <c r="C52" s="5" t="s">
        <v>147</v>
      </c>
      <c r="D52" s="5" t="s">
        <v>148</v>
      </c>
      <c r="E52" s="5" t="s">
        <v>149</v>
      </c>
      <c r="F52" s="5" t="s">
        <v>13</v>
      </c>
      <c r="G52" s="5">
        <f t="shared" si="1"/>
        <v>1</v>
      </c>
      <c r="H52" s="6"/>
    </row>
    <row r="53" ht="16.5" spans="1:8">
      <c r="A53" s="5" t="s">
        <v>135</v>
      </c>
      <c r="B53" s="5" t="s">
        <v>136</v>
      </c>
      <c r="C53" s="5" t="s">
        <v>147</v>
      </c>
      <c r="D53" s="5" t="s">
        <v>150</v>
      </c>
      <c r="E53" s="5" t="s">
        <v>151</v>
      </c>
      <c r="F53" s="5" t="s">
        <v>13</v>
      </c>
      <c r="G53" s="5">
        <f t="shared" si="1"/>
        <v>1</v>
      </c>
      <c r="H53" s="6"/>
    </row>
    <row r="54" ht="16.5" spans="1:8">
      <c r="A54" s="5" t="s">
        <v>135</v>
      </c>
      <c r="B54" s="5" t="s">
        <v>136</v>
      </c>
      <c r="C54" s="5" t="s">
        <v>147</v>
      </c>
      <c r="D54" s="5" t="s">
        <v>152</v>
      </c>
      <c r="E54" s="5" t="s">
        <v>153</v>
      </c>
      <c r="F54" s="5" t="s">
        <v>13</v>
      </c>
      <c r="G54" s="5">
        <f t="shared" si="1"/>
        <v>1</v>
      </c>
      <c r="H54" s="6"/>
    </row>
    <row r="55" ht="16.5" spans="1:8">
      <c r="A55" s="11" t="s">
        <v>135</v>
      </c>
      <c r="B55" s="11" t="s">
        <v>136</v>
      </c>
      <c r="C55" s="11" t="s">
        <v>147</v>
      </c>
      <c r="D55" s="11" t="s">
        <v>154</v>
      </c>
      <c r="E55" s="11" t="s">
        <v>155</v>
      </c>
      <c r="F55" s="11" t="s">
        <v>51</v>
      </c>
      <c r="G55" s="5">
        <f t="shared" si="1"/>
        <v>0.5</v>
      </c>
      <c r="H55" s="12"/>
    </row>
    <row r="56" ht="16.5" spans="1:8">
      <c r="A56" s="7" t="s">
        <v>135</v>
      </c>
      <c r="B56" s="7" t="s">
        <v>136</v>
      </c>
      <c r="C56" s="7" t="s">
        <v>147</v>
      </c>
      <c r="D56" s="7" t="s">
        <v>156</v>
      </c>
      <c r="E56" s="7" t="s">
        <v>157</v>
      </c>
      <c r="F56" s="5" t="s">
        <v>13</v>
      </c>
      <c r="G56" s="5">
        <f t="shared" si="1"/>
        <v>1</v>
      </c>
      <c r="H56" s="8"/>
    </row>
    <row r="57" ht="16.5" spans="1:8">
      <c r="A57" s="5" t="s">
        <v>135</v>
      </c>
      <c r="B57" s="5" t="s">
        <v>158</v>
      </c>
      <c r="C57" s="5" t="s">
        <v>159</v>
      </c>
      <c r="D57" s="5" t="s">
        <v>160</v>
      </c>
      <c r="E57" s="5" t="s">
        <v>161</v>
      </c>
      <c r="F57" s="5" t="s">
        <v>13</v>
      </c>
      <c r="G57" s="5">
        <f t="shared" si="1"/>
        <v>1</v>
      </c>
      <c r="H57" s="6"/>
    </row>
    <row r="58" ht="16.5" spans="1:8">
      <c r="A58" s="5" t="s">
        <v>135</v>
      </c>
      <c r="B58" s="5" t="s">
        <v>158</v>
      </c>
      <c r="C58" s="5" t="s">
        <v>159</v>
      </c>
      <c r="D58" s="5" t="s">
        <v>162</v>
      </c>
      <c r="E58" s="5" t="s">
        <v>163</v>
      </c>
      <c r="F58" s="5" t="s">
        <v>13</v>
      </c>
      <c r="G58" s="5">
        <f t="shared" si="1"/>
        <v>1</v>
      </c>
      <c r="H58" s="6"/>
    </row>
    <row r="59" ht="33" spans="1:8">
      <c r="A59" s="5" t="s">
        <v>135</v>
      </c>
      <c r="B59" s="5" t="s">
        <v>158</v>
      </c>
      <c r="C59" s="5" t="s">
        <v>159</v>
      </c>
      <c r="D59" s="5" t="s">
        <v>164</v>
      </c>
      <c r="E59" s="5" t="s">
        <v>165</v>
      </c>
      <c r="F59" s="5" t="s">
        <v>13</v>
      </c>
      <c r="G59" s="5">
        <f t="shared" si="1"/>
        <v>1</v>
      </c>
      <c r="H59" s="6" t="s">
        <v>166</v>
      </c>
    </row>
    <row r="60" ht="16.5" spans="1:8">
      <c r="A60" s="5" t="s">
        <v>135</v>
      </c>
      <c r="B60" s="5" t="s">
        <v>158</v>
      </c>
      <c r="C60" s="5" t="s">
        <v>159</v>
      </c>
      <c r="D60" s="5" t="s">
        <v>167</v>
      </c>
      <c r="E60" s="5" t="s">
        <v>168</v>
      </c>
      <c r="F60" s="5" t="s">
        <v>13</v>
      </c>
      <c r="G60" s="5">
        <f t="shared" si="1"/>
        <v>1</v>
      </c>
      <c r="H60" s="6"/>
    </row>
    <row r="61" ht="16.5" spans="1:8">
      <c r="A61" s="5" t="s">
        <v>135</v>
      </c>
      <c r="B61" s="5" t="s">
        <v>158</v>
      </c>
      <c r="C61" s="5" t="s">
        <v>159</v>
      </c>
      <c r="D61" s="5" t="s">
        <v>169</v>
      </c>
      <c r="E61" s="5" t="s">
        <v>170</v>
      </c>
      <c r="F61" s="5" t="s">
        <v>13</v>
      </c>
      <c r="G61" s="5">
        <f t="shared" si="1"/>
        <v>1</v>
      </c>
      <c r="H61" s="6"/>
    </row>
    <row r="62" ht="16.5" spans="1:8">
      <c r="A62" s="5" t="s">
        <v>135</v>
      </c>
      <c r="B62" s="5" t="s">
        <v>158</v>
      </c>
      <c r="C62" s="5" t="s">
        <v>171</v>
      </c>
      <c r="D62" s="5" t="s">
        <v>172</v>
      </c>
      <c r="E62" s="5" t="s">
        <v>173</v>
      </c>
      <c r="F62" s="5" t="s">
        <v>13</v>
      </c>
      <c r="G62" s="5">
        <f t="shared" si="1"/>
        <v>1</v>
      </c>
      <c r="H62" s="6"/>
    </row>
    <row r="63" ht="16.5" spans="1:8">
      <c r="A63" s="5" t="s">
        <v>135</v>
      </c>
      <c r="B63" s="5" t="s">
        <v>158</v>
      </c>
      <c r="C63" s="5" t="s">
        <v>171</v>
      </c>
      <c r="D63" s="5" t="s">
        <v>174</v>
      </c>
      <c r="E63" s="5" t="s">
        <v>175</v>
      </c>
      <c r="F63" s="5" t="s">
        <v>13</v>
      </c>
      <c r="G63" s="5">
        <f t="shared" si="1"/>
        <v>1</v>
      </c>
      <c r="H63" s="6"/>
    </row>
    <row r="64" ht="16.5" spans="1:8">
      <c r="A64" s="5" t="s">
        <v>135</v>
      </c>
      <c r="B64" s="5" t="s">
        <v>158</v>
      </c>
      <c r="C64" s="5" t="s">
        <v>171</v>
      </c>
      <c r="D64" s="5" t="s">
        <v>176</v>
      </c>
      <c r="E64" s="5" t="s">
        <v>177</v>
      </c>
      <c r="F64" s="5" t="s">
        <v>13</v>
      </c>
      <c r="G64" s="5">
        <f t="shared" si="1"/>
        <v>1</v>
      </c>
      <c r="H64" s="6"/>
    </row>
    <row r="65" ht="16.5" spans="1:8">
      <c r="A65" s="7" t="s">
        <v>135</v>
      </c>
      <c r="B65" s="7" t="s">
        <v>158</v>
      </c>
      <c r="C65" s="7" t="s">
        <v>171</v>
      </c>
      <c r="D65" s="7" t="s">
        <v>178</v>
      </c>
      <c r="E65" s="7" t="s">
        <v>179</v>
      </c>
      <c r="F65" s="5" t="s">
        <v>13</v>
      </c>
      <c r="G65" s="5">
        <f t="shared" si="1"/>
        <v>1</v>
      </c>
      <c r="H65" s="8"/>
    </row>
    <row r="66" ht="16.5" spans="1:8">
      <c r="A66" s="5" t="s">
        <v>135</v>
      </c>
      <c r="B66" s="5" t="s">
        <v>180</v>
      </c>
      <c r="C66" s="5" t="s">
        <v>181</v>
      </c>
      <c r="D66" s="5" t="s">
        <v>182</v>
      </c>
      <c r="E66" s="5" t="s">
        <v>183</v>
      </c>
      <c r="F66" s="5" t="s">
        <v>13</v>
      </c>
      <c r="G66" s="5">
        <f t="shared" si="1"/>
        <v>1</v>
      </c>
      <c r="H66" s="6"/>
    </row>
    <row r="67" ht="16.5" spans="1:8">
      <c r="A67" s="5" t="s">
        <v>135</v>
      </c>
      <c r="B67" s="5" t="s">
        <v>180</v>
      </c>
      <c r="C67" s="5" t="s">
        <v>181</v>
      </c>
      <c r="D67" s="5" t="s">
        <v>184</v>
      </c>
      <c r="E67" s="5" t="s">
        <v>185</v>
      </c>
      <c r="F67" s="5" t="s">
        <v>13</v>
      </c>
      <c r="G67" s="5">
        <f t="shared" ref="G67:G98" si="2">IF(F67="符合",1,IF(F67="不符合",0,0.5))</f>
        <v>1</v>
      </c>
      <c r="H67" s="6"/>
    </row>
    <row r="68" ht="16.5" spans="1:8">
      <c r="A68" s="5" t="s">
        <v>135</v>
      </c>
      <c r="B68" s="5" t="s">
        <v>180</v>
      </c>
      <c r="C68" s="5" t="s">
        <v>181</v>
      </c>
      <c r="D68" s="5" t="s">
        <v>186</v>
      </c>
      <c r="E68" s="5" t="s">
        <v>187</v>
      </c>
      <c r="F68" s="5" t="s">
        <v>13</v>
      </c>
      <c r="G68" s="5">
        <f t="shared" si="2"/>
        <v>1</v>
      </c>
      <c r="H68" s="6"/>
    </row>
    <row r="69" ht="16.5" spans="1:8">
      <c r="A69" s="5" t="s">
        <v>135</v>
      </c>
      <c r="B69" s="5" t="s">
        <v>180</v>
      </c>
      <c r="C69" s="5" t="s">
        <v>188</v>
      </c>
      <c r="D69" s="5" t="s">
        <v>189</v>
      </c>
      <c r="E69" s="5" t="s">
        <v>190</v>
      </c>
      <c r="F69" s="5" t="s">
        <v>13</v>
      </c>
      <c r="G69" s="5">
        <f t="shared" si="2"/>
        <v>1</v>
      </c>
      <c r="H69" s="6"/>
    </row>
    <row r="70" ht="16.5" spans="1:8">
      <c r="A70" s="5" t="s">
        <v>135</v>
      </c>
      <c r="B70" s="5" t="s">
        <v>180</v>
      </c>
      <c r="C70" s="5" t="s">
        <v>188</v>
      </c>
      <c r="D70" s="5" t="s">
        <v>191</v>
      </c>
      <c r="E70" s="5" t="s">
        <v>192</v>
      </c>
      <c r="F70" s="5" t="s">
        <v>13</v>
      </c>
      <c r="G70" s="5">
        <f t="shared" si="2"/>
        <v>1</v>
      </c>
      <c r="H70" s="6"/>
    </row>
    <row r="71" ht="16.5" spans="1:8">
      <c r="A71" s="5" t="s">
        <v>135</v>
      </c>
      <c r="B71" s="5" t="s">
        <v>180</v>
      </c>
      <c r="C71" s="5" t="s">
        <v>188</v>
      </c>
      <c r="D71" s="5" t="s">
        <v>193</v>
      </c>
      <c r="E71" s="5" t="s">
        <v>194</v>
      </c>
      <c r="F71" s="5" t="s">
        <v>13</v>
      </c>
      <c r="G71" s="5">
        <f t="shared" si="2"/>
        <v>1</v>
      </c>
      <c r="H71" s="6" t="s">
        <v>195</v>
      </c>
    </row>
    <row r="72" ht="16.5" spans="1:8">
      <c r="A72" s="5" t="s">
        <v>135</v>
      </c>
      <c r="B72" s="5" t="s">
        <v>180</v>
      </c>
      <c r="C72" s="5" t="s">
        <v>196</v>
      </c>
      <c r="D72" s="5" t="s">
        <v>197</v>
      </c>
      <c r="E72" s="5" t="s">
        <v>198</v>
      </c>
      <c r="F72" s="5" t="s">
        <v>13</v>
      </c>
      <c r="G72" s="5">
        <f t="shared" si="2"/>
        <v>1</v>
      </c>
      <c r="H72" s="6"/>
    </row>
    <row r="73" ht="16.5" spans="1:8">
      <c r="A73" s="5" t="s">
        <v>135</v>
      </c>
      <c r="B73" s="5" t="s">
        <v>180</v>
      </c>
      <c r="C73" s="5" t="s">
        <v>196</v>
      </c>
      <c r="D73" s="5" t="s">
        <v>199</v>
      </c>
      <c r="E73" s="5" t="s">
        <v>200</v>
      </c>
      <c r="F73" s="5" t="s">
        <v>13</v>
      </c>
      <c r="G73" s="5">
        <f t="shared" si="2"/>
        <v>1</v>
      </c>
      <c r="H73" s="6"/>
    </row>
    <row r="74" ht="33" spans="1:8">
      <c r="A74" s="7" t="s">
        <v>201</v>
      </c>
      <c r="B74" s="7" t="s">
        <v>202</v>
      </c>
      <c r="C74" s="7" t="s">
        <v>203</v>
      </c>
      <c r="D74" s="7" t="s">
        <v>204</v>
      </c>
      <c r="E74" s="7" t="s">
        <v>205</v>
      </c>
      <c r="F74" s="5" t="s">
        <v>13</v>
      </c>
      <c r="G74" s="5">
        <f t="shared" si="2"/>
        <v>1</v>
      </c>
      <c r="H74" s="8" t="s">
        <v>206</v>
      </c>
    </row>
    <row r="75" ht="16.5" spans="1:8">
      <c r="A75" s="5" t="s">
        <v>201</v>
      </c>
      <c r="B75" s="5" t="s">
        <v>202</v>
      </c>
      <c r="C75" s="5" t="s">
        <v>203</v>
      </c>
      <c r="D75" s="5" t="s">
        <v>207</v>
      </c>
      <c r="E75" s="5" t="s">
        <v>208</v>
      </c>
      <c r="F75" s="5" t="s">
        <v>13</v>
      </c>
      <c r="G75" s="5">
        <f t="shared" si="2"/>
        <v>1</v>
      </c>
      <c r="H75" s="6" t="s">
        <v>209</v>
      </c>
    </row>
    <row r="76" ht="16.5" spans="1:8">
      <c r="A76" s="5" t="s">
        <v>201</v>
      </c>
      <c r="B76" s="5" t="s">
        <v>202</v>
      </c>
      <c r="C76" s="5" t="s">
        <v>210</v>
      </c>
      <c r="D76" s="5" t="s">
        <v>211</v>
      </c>
      <c r="E76" s="5" t="s">
        <v>212</v>
      </c>
      <c r="F76" s="5" t="s">
        <v>13</v>
      </c>
      <c r="G76" s="5">
        <f t="shared" si="2"/>
        <v>1</v>
      </c>
      <c r="H76" s="6"/>
    </row>
    <row r="77" ht="16.5" spans="1:8">
      <c r="A77" s="5" t="s">
        <v>201</v>
      </c>
      <c r="B77" s="5" t="s">
        <v>202</v>
      </c>
      <c r="C77" s="5" t="s">
        <v>210</v>
      </c>
      <c r="D77" s="5" t="s">
        <v>213</v>
      </c>
      <c r="E77" s="5" t="s">
        <v>214</v>
      </c>
      <c r="F77" s="5" t="s">
        <v>13</v>
      </c>
      <c r="G77" s="5">
        <f t="shared" si="2"/>
        <v>1</v>
      </c>
      <c r="H77" s="6"/>
    </row>
    <row r="78" ht="49.5" spans="1:8">
      <c r="A78" s="11" t="s">
        <v>201</v>
      </c>
      <c r="B78" s="11" t="s">
        <v>202</v>
      </c>
      <c r="C78" s="11" t="s">
        <v>210</v>
      </c>
      <c r="D78" s="11" t="s">
        <v>215</v>
      </c>
      <c r="E78" s="11" t="s">
        <v>216</v>
      </c>
      <c r="F78" s="11" t="s">
        <v>51</v>
      </c>
      <c r="G78" s="5">
        <f t="shared" si="2"/>
        <v>0.5</v>
      </c>
      <c r="H78" s="12" t="s">
        <v>217</v>
      </c>
    </row>
    <row r="79" ht="16.5" spans="1:8">
      <c r="A79" s="7" t="s">
        <v>201</v>
      </c>
      <c r="B79" s="7" t="s">
        <v>202</v>
      </c>
      <c r="C79" s="7" t="s">
        <v>210</v>
      </c>
      <c r="D79" s="7" t="s">
        <v>218</v>
      </c>
      <c r="E79" s="7" t="s">
        <v>219</v>
      </c>
      <c r="F79" s="5" t="s">
        <v>13</v>
      </c>
      <c r="G79" s="5">
        <f t="shared" si="2"/>
        <v>1</v>
      </c>
      <c r="H79" s="8"/>
    </row>
    <row r="80" ht="16.5" spans="1:8">
      <c r="A80" s="7" t="s">
        <v>201</v>
      </c>
      <c r="B80" s="7" t="s">
        <v>220</v>
      </c>
      <c r="C80" s="7" t="s">
        <v>221</v>
      </c>
      <c r="D80" s="7" t="s">
        <v>222</v>
      </c>
      <c r="E80" s="7" t="s">
        <v>223</v>
      </c>
      <c r="F80" s="5" t="s">
        <v>13</v>
      </c>
      <c r="G80" s="5">
        <f t="shared" si="2"/>
        <v>1</v>
      </c>
      <c r="H80" s="8"/>
    </row>
    <row r="81" ht="16.5" spans="1:8">
      <c r="A81" s="5" t="s">
        <v>201</v>
      </c>
      <c r="B81" s="5" t="s">
        <v>220</v>
      </c>
      <c r="C81" s="5" t="s">
        <v>221</v>
      </c>
      <c r="D81" s="5" t="s">
        <v>224</v>
      </c>
      <c r="E81" s="5" t="s">
        <v>225</v>
      </c>
      <c r="F81" s="5" t="s">
        <v>13</v>
      </c>
      <c r="G81" s="5">
        <f t="shared" si="2"/>
        <v>1</v>
      </c>
      <c r="H81" s="6" t="s">
        <v>226</v>
      </c>
    </row>
    <row r="82" ht="16.5" spans="1:8">
      <c r="A82" s="5" t="s">
        <v>201</v>
      </c>
      <c r="B82" s="5" t="s">
        <v>220</v>
      </c>
      <c r="C82" s="5" t="s">
        <v>221</v>
      </c>
      <c r="D82" s="5" t="s">
        <v>227</v>
      </c>
      <c r="E82" s="5" t="s">
        <v>228</v>
      </c>
      <c r="F82" s="5" t="s">
        <v>13</v>
      </c>
      <c r="G82" s="5">
        <f t="shared" si="2"/>
        <v>1</v>
      </c>
      <c r="H82" s="6"/>
    </row>
    <row r="83" ht="16.5" spans="1:8">
      <c r="A83" s="5" t="s">
        <v>201</v>
      </c>
      <c r="B83" s="5" t="s">
        <v>220</v>
      </c>
      <c r="C83" s="5" t="s">
        <v>229</v>
      </c>
      <c r="D83" s="5" t="s">
        <v>230</v>
      </c>
      <c r="E83" s="5" t="s">
        <v>231</v>
      </c>
      <c r="F83" s="5" t="s">
        <v>13</v>
      </c>
      <c r="G83" s="5">
        <f t="shared" si="2"/>
        <v>1</v>
      </c>
      <c r="H83" s="6"/>
    </row>
    <row r="84" ht="16.5" spans="1:8">
      <c r="A84" s="5" t="s">
        <v>201</v>
      </c>
      <c r="B84" s="5" t="s">
        <v>220</v>
      </c>
      <c r="C84" s="5" t="s">
        <v>229</v>
      </c>
      <c r="D84" s="5" t="s">
        <v>232</v>
      </c>
      <c r="E84" s="13" t="s">
        <v>233</v>
      </c>
      <c r="F84" s="5" t="s">
        <v>13</v>
      </c>
      <c r="G84" s="5">
        <f t="shared" si="2"/>
        <v>1</v>
      </c>
      <c r="H84" s="6"/>
    </row>
    <row r="85" ht="16.5" spans="1:8">
      <c r="A85" s="7" t="s">
        <v>201</v>
      </c>
      <c r="B85" s="7" t="s">
        <v>220</v>
      </c>
      <c r="C85" s="7" t="s">
        <v>229</v>
      </c>
      <c r="D85" s="7" t="s">
        <v>234</v>
      </c>
      <c r="E85" s="7" t="s">
        <v>235</v>
      </c>
      <c r="F85" s="5" t="s">
        <v>13</v>
      </c>
      <c r="G85" s="5">
        <f t="shared" si="2"/>
        <v>1</v>
      </c>
      <c r="H85" s="8"/>
    </row>
    <row r="86" ht="16.5" spans="1:8">
      <c r="A86" s="5" t="s">
        <v>201</v>
      </c>
      <c r="B86" s="5" t="s">
        <v>220</v>
      </c>
      <c r="C86" s="5" t="s">
        <v>229</v>
      </c>
      <c r="D86" s="5" t="s">
        <v>234</v>
      </c>
      <c r="E86" s="5" t="s">
        <v>236</v>
      </c>
      <c r="F86" s="5" t="s">
        <v>13</v>
      </c>
      <c r="G86" s="5">
        <f t="shared" si="2"/>
        <v>1</v>
      </c>
      <c r="H86" s="6"/>
    </row>
    <row r="87" ht="16.5" spans="1:8">
      <c r="A87" s="7" t="s">
        <v>201</v>
      </c>
      <c r="B87" s="7" t="s">
        <v>220</v>
      </c>
      <c r="C87" s="7" t="s">
        <v>237</v>
      </c>
      <c r="D87" s="7" t="s">
        <v>238</v>
      </c>
      <c r="E87" s="7" t="s">
        <v>239</v>
      </c>
      <c r="F87" s="5" t="s">
        <v>13</v>
      </c>
      <c r="G87" s="5">
        <f t="shared" si="2"/>
        <v>1</v>
      </c>
      <c r="H87" s="8"/>
    </row>
    <row r="88" ht="16.5" spans="1:8">
      <c r="A88" s="5" t="s">
        <v>201</v>
      </c>
      <c r="B88" s="5" t="s">
        <v>220</v>
      </c>
      <c r="C88" s="5" t="s">
        <v>237</v>
      </c>
      <c r="D88" s="5" t="s">
        <v>240</v>
      </c>
      <c r="E88" s="5" t="s">
        <v>241</v>
      </c>
      <c r="F88" s="5" t="s">
        <v>13</v>
      </c>
      <c r="G88" s="5">
        <f t="shared" si="2"/>
        <v>1</v>
      </c>
      <c r="H88" s="6"/>
    </row>
    <row r="89" ht="16.5" spans="1:8">
      <c r="A89" s="5" t="s">
        <v>201</v>
      </c>
      <c r="B89" s="5" t="s">
        <v>220</v>
      </c>
      <c r="C89" s="5" t="s">
        <v>237</v>
      </c>
      <c r="D89" s="5" t="s">
        <v>242</v>
      </c>
      <c r="E89" s="5" t="s">
        <v>243</v>
      </c>
      <c r="F89" s="5" t="s">
        <v>13</v>
      </c>
      <c r="G89" s="5">
        <f t="shared" si="2"/>
        <v>1</v>
      </c>
      <c r="H89" s="6"/>
    </row>
    <row r="90" ht="16.5" spans="1:8">
      <c r="A90" s="5" t="s">
        <v>244</v>
      </c>
      <c r="B90" s="5" t="s">
        <v>245</v>
      </c>
      <c r="C90" s="5" t="s">
        <v>246</v>
      </c>
      <c r="D90" s="5" t="s">
        <v>247</v>
      </c>
      <c r="E90" s="5" t="s">
        <v>248</v>
      </c>
      <c r="F90" s="5" t="s">
        <v>13</v>
      </c>
      <c r="G90" s="5">
        <f t="shared" si="2"/>
        <v>1</v>
      </c>
      <c r="H90" s="6"/>
    </row>
    <row r="91" ht="16.5" spans="1:8">
      <c r="A91" s="5" t="s">
        <v>244</v>
      </c>
      <c r="B91" s="5" t="s">
        <v>245</v>
      </c>
      <c r="C91" s="5" t="s">
        <v>249</v>
      </c>
      <c r="D91" s="5" t="s">
        <v>250</v>
      </c>
      <c r="E91" s="5" t="s">
        <v>251</v>
      </c>
      <c r="F91" s="5" t="s">
        <v>13</v>
      </c>
      <c r="G91" s="5">
        <f t="shared" si="2"/>
        <v>1</v>
      </c>
      <c r="H91" s="6"/>
    </row>
    <row r="92" ht="16.5" spans="1:8">
      <c r="A92" s="5" t="s">
        <v>244</v>
      </c>
      <c r="B92" s="5" t="s">
        <v>245</v>
      </c>
      <c r="C92" s="5" t="s">
        <v>249</v>
      </c>
      <c r="D92" s="5" t="s">
        <v>252</v>
      </c>
      <c r="E92" s="5" t="s">
        <v>253</v>
      </c>
      <c r="F92" s="5" t="s">
        <v>13</v>
      </c>
      <c r="G92" s="5">
        <f t="shared" si="2"/>
        <v>1</v>
      </c>
      <c r="H92" s="6"/>
    </row>
    <row r="93" ht="16.5" spans="1:8">
      <c r="A93" s="7" t="s">
        <v>244</v>
      </c>
      <c r="B93" s="7" t="s">
        <v>245</v>
      </c>
      <c r="C93" s="7" t="s">
        <v>249</v>
      </c>
      <c r="D93" s="7" t="s">
        <v>254</v>
      </c>
      <c r="E93" s="7" t="s">
        <v>255</v>
      </c>
      <c r="F93" s="5" t="s">
        <v>13</v>
      </c>
      <c r="G93" s="5">
        <f t="shared" si="2"/>
        <v>1</v>
      </c>
      <c r="H93" s="8"/>
    </row>
    <row r="94" ht="16.5" spans="1:8">
      <c r="A94" s="7" t="s">
        <v>244</v>
      </c>
      <c r="B94" s="7" t="s">
        <v>245</v>
      </c>
      <c r="C94" s="7" t="s">
        <v>249</v>
      </c>
      <c r="D94" s="7" t="s">
        <v>256</v>
      </c>
      <c r="E94" s="7" t="s">
        <v>257</v>
      </c>
      <c r="F94" s="5" t="s">
        <v>13</v>
      </c>
      <c r="G94" s="5">
        <f t="shared" si="2"/>
        <v>1</v>
      </c>
      <c r="H94" s="8"/>
    </row>
    <row r="95" ht="16.5" spans="1:8">
      <c r="A95" s="5" t="s">
        <v>244</v>
      </c>
      <c r="B95" s="5" t="s">
        <v>245</v>
      </c>
      <c r="C95" s="5" t="s">
        <v>249</v>
      </c>
      <c r="D95" s="5" t="s">
        <v>258</v>
      </c>
      <c r="E95" s="5" t="s">
        <v>259</v>
      </c>
      <c r="F95" s="5" t="s">
        <v>13</v>
      </c>
      <c r="G95" s="5">
        <f t="shared" si="2"/>
        <v>1</v>
      </c>
      <c r="H95" s="6"/>
    </row>
    <row r="96" ht="49.5" spans="1:8">
      <c r="A96" s="7" t="s">
        <v>244</v>
      </c>
      <c r="B96" s="7" t="s">
        <v>245</v>
      </c>
      <c r="C96" s="7" t="s">
        <v>260</v>
      </c>
      <c r="D96" s="7" t="s">
        <v>261</v>
      </c>
      <c r="E96" s="7" t="s">
        <v>262</v>
      </c>
      <c r="F96" s="5" t="s">
        <v>13</v>
      </c>
      <c r="G96" s="5">
        <f t="shared" si="2"/>
        <v>1</v>
      </c>
      <c r="H96" s="8" t="s">
        <v>263</v>
      </c>
    </row>
    <row r="97" ht="16.5" spans="1:8">
      <c r="A97" s="5" t="s">
        <v>244</v>
      </c>
      <c r="B97" s="5" t="s">
        <v>245</v>
      </c>
      <c r="C97" s="5" t="s">
        <v>260</v>
      </c>
      <c r="D97" s="5" t="s">
        <v>264</v>
      </c>
      <c r="E97" s="5" t="s">
        <v>265</v>
      </c>
      <c r="F97" s="5" t="s">
        <v>13</v>
      </c>
      <c r="G97" s="5">
        <f t="shared" si="2"/>
        <v>1</v>
      </c>
      <c r="H97" s="6"/>
    </row>
    <row r="98" ht="16.5" spans="1:8">
      <c r="A98" s="5" t="s">
        <v>244</v>
      </c>
      <c r="B98" s="5" t="s">
        <v>245</v>
      </c>
      <c r="C98" s="5" t="s">
        <v>260</v>
      </c>
      <c r="D98" s="5" t="s">
        <v>266</v>
      </c>
      <c r="E98" s="5" t="s">
        <v>267</v>
      </c>
      <c r="F98" s="5" t="s">
        <v>13</v>
      </c>
      <c r="G98" s="5">
        <f t="shared" si="2"/>
        <v>1</v>
      </c>
      <c r="H98" s="6"/>
    </row>
    <row r="99" ht="16.5" spans="1:8">
      <c r="A99" s="5" t="s">
        <v>244</v>
      </c>
      <c r="B99" s="5" t="s">
        <v>245</v>
      </c>
      <c r="C99" s="5" t="s">
        <v>260</v>
      </c>
      <c r="D99" s="5" t="s">
        <v>268</v>
      </c>
      <c r="E99" s="5" t="s">
        <v>269</v>
      </c>
      <c r="F99" s="5" t="s">
        <v>13</v>
      </c>
      <c r="G99" s="5">
        <f t="shared" ref="G99:G124" si="3">IF(F99="符合",1,IF(F99="不符合",0,0.5))</f>
        <v>1</v>
      </c>
      <c r="H99" s="6"/>
    </row>
    <row r="100" ht="33" spans="1:8">
      <c r="A100" s="5" t="s">
        <v>244</v>
      </c>
      <c r="B100" s="5" t="s">
        <v>245</v>
      </c>
      <c r="C100" s="5" t="s">
        <v>260</v>
      </c>
      <c r="D100" s="5" t="s">
        <v>270</v>
      </c>
      <c r="E100" s="5" t="s">
        <v>271</v>
      </c>
      <c r="F100" s="5" t="s">
        <v>13</v>
      </c>
      <c r="G100" s="5">
        <f t="shared" si="3"/>
        <v>1</v>
      </c>
      <c r="H100" s="6" t="s">
        <v>272</v>
      </c>
    </row>
    <row r="101" ht="16.5" spans="1:8">
      <c r="A101" s="5" t="s">
        <v>244</v>
      </c>
      <c r="B101" s="5" t="s">
        <v>245</v>
      </c>
      <c r="C101" s="5" t="s">
        <v>260</v>
      </c>
      <c r="D101" s="5" t="s">
        <v>273</v>
      </c>
      <c r="E101" s="5" t="s">
        <v>274</v>
      </c>
      <c r="F101" s="5" t="s">
        <v>13</v>
      </c>
      <c r="G101" s="5">
        <f t="shared" si="3"/>
        <v>1</v>
      </c>
      <c r="H101" s="6"/>
    </row>
    <row r="102" ht="16.5" spans="1:8">
      <c r="A102" s="5" t="s">
        <v>244</v>
      </c>
      <c r="B102" s="5" t="s">
        <v>275</v>
      </c>
      <c r="C102" s="5" t="s">
        <v>276</v>
      </c>
      <c r="D102" s="5" t="s">
        <v>277</v>
      </c>
      <c r="E102" s="5" t="s">
        <v>278</v>
      </c>
      <c r="F102" s="5" t="s">
        <v>13</v>
      </c>
      <c r="G102" s="5">
        <f t="shared" si="3"/>
        <v>1</v>
      </c>
      <c r="H102" s="6"/>
    </row>
    <row r="103" ht="49.5" spans="1:8">
      <c r="A103" s="7" t="s">
        <v>244</v>
      </c>
      <c r="B103" s="7" t="s">
        <v>275</v>
      </c>
      <c r="C103" s="7" t="s">
        <v>276</v>
      </c>
      <c r="D103" s="7" t="s">
        <v>279</v>
      </c>
      <c r="E103" s="7" t="s">
        <v>280</v>
      </c>
      <c r="F103" s="5" t="s">
        <v>13</v>
      </c>
      <c r="G103" s="5">
        <f t="shared" si="3"/>
        <v>1</v>
      </c>
      <c r="H103" s="8"/>
    </row>
    <row r="104" ht="16.5" spans="1:8">
      <c r="A104" s="5" t="s">
        <v>244</v>
      </c>
      <c r="B104" s="5" t="s">
        <v>275</v>
      </c>
      <c r="C104" s="5" t="s">
        <v>276</v>
      </c>
      <c r="D104" s="5" t="s">
        <v>281</v>
      </c>
      <c r="E104" s="5" t="s">
        <v>282</v>
      </c>
      <c r="F104" s="5" t="s">
        <v>13</v>
      </c>
      <c r="G104" s="5">
        <f t="shared" si="3"/>
        <v>1</v>
      </c>
      <c r="H104" s="6"/>
    </row>
    <row r="105" ht="16.5" spans="1:8">
      <c r="A105" s="5" t="s">
        <v>244</v>
      </c>
      <c r="B105" s="5" t="s">
        <v>275</v>
      </c>
      <c r="C105" s="5" t="s">
        <v>283</v>
      </c>
      <c r="D105" s="5" t="s">
        <v>284</v>
      </c>
      <c r="E105" s="5" t="s">
        <v>285</v>
      </c>
      <c r="F105" s="5" t="s">
        <v>13</v>
      </c>
      <c r="G105" s="5">
        <f t="shared" si="3"/>
        <v>1</v>
      </c>
      <c r="H105" s="6"/>
    </row>
    <row r="106" ht="16.5" spans="1:8">
      <c r="A106" s="5" t="s">
        <v>244</v>
      </c>
      <c r="B106" s="5" t="s">
        <v>275</v>
      </c>
      <c r="C106" s="5" t="s">
        <v>283</v>
      </c>
      <c r="D106" s="5" t="s">
        <v>286</v>
      </c>
      <c r="E106" s="5" t="s">
        <v>287</v>
      </c>
      <c r="F106" s="5" t="s">
        <v>13</v>
      </c>
      <c r="G106" s="5">
        <f t="shared" si="3"/>
        <v>1</v>
      </c>
      <c r="H106" s="6"/>
    </row>
    <row r="107" ht="16.5" spans="1:8">
      <c r="A107" s="5" t="s">
        <v>244</v>
      </c>
      <c r="B107" s="5" t="s">
        <v>275</v>
      </c>
      <c r="C107" s="5" t="s">
        <v>283</v>
      </c>
      <c r="D107" s="5" t="s">
        <v>286</v>
      </c>
      <c r="E107" s="5" t="s">
        <v>288</v>
      </c>
      <c r="F107" s="5" t="s">
        <v>13</v>
      </c>
      <c r="G107" s="5">
        <f t="shared" si="3"/>
        <v>1</v>
      </c>
      <c r="H107" s="6"/>
    </row>
    <row r="108" ht="16.5" spans="1:8">
      <c r="A108" s="9" t="s">
        <v>244</v>
      </c>
      <c r="B108" s="9" t="s">
        <v>275</v>
      </c>
      <c r="C108" s="9" t="s">
        <v>283</v>
      </c>
      <c r="D108" s="9" t="s">
        <v>289</v>
      </c>
      <c r="E108" s="9" t="s">
        <v>290</v>
      </c>
      <c r="F108" s="9" t="s">
        <v>41</v>
      </c>
      <c r="G108" s="5">
        <f t="shared" si="3"/>
        <v>0</v>
      </c>
      <c r="H108" s="10"/>
    </row>
    <row r="109" ht="16.5" spans="1:8">
      <c r="A109" s="5" t="s">
        <v>244</v>
      </c>
      <c r="B109" s="5" t="s">
        <v>275</v>
      </c>
      <c r="C109" s="5" t="s">
        <v>291</v>
      </c>
      <c r="D109" s="5" t="s">
        <v>292</v>
      </c>
      <c r="E109" s="5" t="s">
        <v>293</v>
      </c>
      <c r="F109" s="5" t="s">
        <v>13</v>
      </c>
      <c r="G109" s="5">
        <f t="shared" si="3"/>
        <v>1</v>
      </c>
      <c r="H109" s="6"/>
    </row>
    <row r="110" ht="16.5" spans="1:8">
      <c r="A110" s="7" t="s">
        <v>244</v>
      </c>
      <c r="B110" s="7" t="s">
        <v>275</v>
      </c>
      <c r="C110" s="7" t="s">
        <v>291</v>
      </c>
      <c r="D110" s="7" t="s">
        <v>294</v>
      </c>
      <c r="E110" s="7" t="s">
        <v>295</v>
      </c>
      <c r="F110" s="5" t="s">
        <v>13</v>
      </c>
      <c r="G110" s="5">
        <f t="shared" si="3"/>
        <v>1</v>
      </c>
      <c r="H110" s="8"/>
    </row>
    <row r="111" ht="33" spans="1:8">
      <c r="A111" s="5" t="s">
        <v>244</v>
      </c>
      <c r="B111" s="5" t="s">
        <v>275</v>
      </c>
      <c r="C111" s="5" t="s">
        <v>291</v>
      </c>
      <c r="D111" s="5" t="s">
        <v>294</v>
      </c>
      <c r="E111" s="5" t="s">
        <v>296</v>
      </c>
      <c r="F111" s="5" t="s">
        <v>13</v>
      </c>
      <c r="G111" s="5">
        <f t="shared" si="3"/>
        <v>1</v>
      </c>
      <c r="H111" s="6" t="s">
        <v>297</v>
      </c>
    </row>
    <row r="112" ht="16.5" spans="1:8">
      <c r="A112" s="5" t="s">
        <v>298</v>
      </c>
      <c r="B112" s="5" t="s">
        <v>299</v>
      </c>
      <c r="C112" s="5" t="s">
        <v>300</v>
      </c>
      <c r="D112" s="5" t="s">
        <v>301</v>
      </c>
      <c r="E112" s="5" t="s">
        <v>302</v>
      </c>
      <c r="F112" s="5" t="s">
        <v>13</v>
      </c>
      <c r="G112" s="5">
        <f t="shared" si="3"/>
        <v>1</v>
      </c>
      <c r="H112" s="6"/>
    </row>
    <row r="113" ht="16.5" spans="1:8">
      <c r="A113" s="5" t="s">
        <v>298</v>
      </c>
      <c r="B113" s="5" t="s">
        <v>299</v>
      </c>
      <c r="C113" s="5" t="s">
        <v>300</v>
      </c>
      <c r="D113" s="5" t="s">
        <v>303</v>
      </c>
      <c r="E113" s="5" t="s">
        <v>304</v>
      </c>
      <c r="F113" s="5" t="s">
        <v>13</v>
      </c>
      <c r="G113" s="5">
        <f t="shared" si="3"/>
        <v>1</v>
      </c>
      <c r="H113" s="6"/>
    </row>
    <row r="114" ht="16.5" spans="1:8">
      <c r="A114" s="11" t="s">
        <v>298</v>
      </c>
      <c r="B114" s="11" t="s">
        <v>299</v>
      </c>
      <c r="C114" s="11" t="s">
        <v>300</v>
      </c>
      <c r="D114" s="11" t="s">
        <v>305</v>
      </c>
      <c r="E114" s="11" t="s">
        <v>306</v>
      </c>
      <c r="F114" s="11" t="s">
        <v>51</v>
      </c>
      <c r="G114" s="5">
        <f t="shared" si="3"/>
        <v>0.5</v>
      </c>
      <c r="H114" s="12"/>
    </row>
    <row r="115" ht="16.5" spans="1:8">
      <c r="A115" s="5" t="s">
        <v>298</v>
      </c>
      <c r="B115" s="5" t="s">
        <v>299</v>
      </c>
      <c r="C115" s="5" t="s">
        <v>307</v>
      </c>
      <c r="D115" s="5" t="s">
        <v>308</v>
      </c>
      <c r="E115" s="5" t="s">
        <v>309</v>
      </c>
      <c r="F115" s="5" t="s">
        <v>13</v>
      </c>
      <c r="G115" s="5">
        <f t="shared" si="3"/>
        <v>1</v>
      </c>
      <c r="H115" s="6"/>
    </row>
    <row r="116" ht="16.5" spans="1:8">
      <c r="A116" s="5" t="s">
        <v>298</v>
      </c>
      <c r="B116" s="5" t="s">
        <v>299</v>
      </c>
      <c r="C116" s="5" t="s">
        <v>307</v>
      </c>
      <c r="D116" s="5" t="s">
        <v>308</v>
      </c>
      <c r="E116" s="5" t="s">
        <v>310</v>
      </c>
      <c r="F116" s="5" t="s">
        <v>13</v>
      </c>
      <c r="G116" s="5">
        <f t="shared" si="3"/>
        <v>1</v>
      </c>
      <c r="H116" s="6"/>
    </row>
    <row r="117" ht="16.5" spans="1:8">
      <c r="A117" s="5" t="s">
        <v>298</v>
      </c>
      <c r="B117" s="5" t="s">
        <v>311</v>
      </c>
      <c r="C117" s="5" t="s">
        <v>312</v>
      </c>
      <c r="D117" s="5" t="s">
        <v>313</v>
      </c>
      <c r="E117" s="5" t="s">
        <v>314</v>
      </c>
      <c r="F117" s="5" t="s">
        <v>13</v>
      </c>
      <c r="G117" s="5">
        <f t="shared" si="3"/>
        <v>1</v>
      </c>
      <c r="H117" s="6"/>
    </row>
    <row r="118" ht="33" spans="1:8">
      <c r="A118" s="5" t="s">
        <v>298</v>
      </c>
      <c r="B118" s="5" t="s">
        <v>311</v>
      </c>
      <c r="C118" s="5" t="s">
        <v>312</v>
      </c>
      <c r="D118" s="5" t="s">
        <v>315</v>
      </c>
      <c r="E118" s="5" t="s">
        <v>316</v>
      </c>
      <c r="F118" s="5" t="s">
        <v>13</v>
      </c>
      <c r="G118" s="5">
        <f t="shared" si="3"/>
        <v>1</v>
      </c>
      <c r="H118" s="6"/>
    </row>
    <row r="119" ht="16.5" spans="1:8">
      <c r="A119" s="5" t="s">
        <v>298</v>
      </c>
      <c r="B119" s="5" t="s">
        <v>311</v>
      </c>
      <c r="C119" s="5" t="s">
        <v>312</v>
      </c>
      <c r="D119" s="5" t="s">
        <v>317</v>
      </c>
      <c r="E119" s="5" t="s">
        <v>318</v>
      </c>
      <c r="F119" s="5" t="s">
        <v>13</v>
      </c>
      <c r="G119" s="5">
        <f t="shared" si="3"/>
        <v>1</v>
      </c>
      <c r="H119" s="5"/>
    </row>
    <row r="120" ht="16.5" spans="1:8">
      <c r="A120" s="5" t="s">
        <v>298</v>
      </c>
      <c r="B120" s="5" t="s">
        <v>311</v>
      </c>
      <c r="C120" s="5" t="s">
        <v>319</v>
      </c>
      <c r="D120" s="5" t="s">
        <v>320</v>
      </c>
      <c r="E120" s="5" t="s">
        <v>321</v>
      </c>
      <c r="F120" s="5" t="s">
        <v>13</v>
      </c>
      <c r="G120" s="5">
        <f t="shared" si="3"/>
        <v>1</v>
      </c>
      <c r="H120" s="5"/>
    </row>
    <row r="121" ht="16.5" spans="1:8">
      <c r="A121" s="5" t="s">
        <v>298</v>
      </c>
      <c r="B121" s="5" t="s">
        <v>311</v>
      </c>
      <c r="C121" s="5" t="s">
        <v>319</v>
      </c>
      <c r="D121" s="5" t="s">
        <v>322</v>
      </c>
      <c r="E121" s="5" t="s">
        <v>323</v>
      </c>
      <c r="F121" s="5" t="s">
        <v>13</v>
      </c>
      <c r="G121" s="5">
        <f t="shared" si="3"/>
        <v>1</v>
      </c>
      <c r="H121" s="5"/>
    </row>
    <row r="122" ht="16.5" spans="1:8">
      <c r="A122" s="7" t="s">
        <v>298</v>
      </c>
      <c r="B122" s="7" t="s">
        <v>311</v>
      </c>
      <c r="C122" s="7" t="s">
        <v>319</v>
      </c>
      <c r="D122" s="7" t="s">
        <v>324</v>
      </c>
      <c r="E122" s="7" t="s">
        <v>325</v>
      </c>
      <c r="F122" s="5" t="s">
        <v>13</v>
      </c>
      <c r="G122" s="5">
        <f t="shared" si="3"/>
        <v>1</v>
      </c>
      <c r="H122" s="14" t="s">
        <v>326</v>
      </c>
    </row>
    <row r="123" ht="16.5" spans="1:8">
      <c r="A123" s="5" t="s">
        <v>298</v>
      </c>
      <c r="B123" s="5" t="s">
        <v>311</v>
      </c>
      <c r="C123" s="5" t="s">
        <v>319</v>
      </c>
      <c r="D123" s="5" t="s">
        <v>327</v>
      </c>
      <c r="E123" s="5" t="s">
        <v>328</v>
      </c>
      <c r="F123" s="5" t="s">
        <v>13</v>
      </c>
      <c r="G123" s="5">
        <f t="shared" si="3"/>
        <v>1</v>
      </c>
      <c r="H123" s="15"/>
    </row>
    <row r="124" ht="16.5" spans="1:8">
      <c r="A124" s="5" t="s">
        <v>298</v>
      </c>
      <c r="B124" s="5" t="s">
        <v>311</v>
      </c>
      <c r="C124" s="5" t="s">
        <v>319</v>
      </c>
      <c r="D124" s="5" t="s">
        <v>329</v>
      </c>
      <c r="E124" s="5" t="s">
        <v>330</v>
      </c>
      <c r="F124" s="5" t="s">
        <v>13</v>
      </c>
      <c r="G124" s="5">
        <f t="shared" si="3"/>
        <v>1</v>
      </c>
      <c r="H124" s="15" t="s">
        <v>331</v>
      </c>
    </row>
    <row r="125" spans="8:8">
      <c r="H125" s="16"/>
    </row>
  </sheetData>
  <autoFilter ref="A1:H12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各指标得分情况</vt:lpstr>
      <vt:lpstr>统计与得分</vt:lpstr>
      <vt:lpstr>指标表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gao</dc:creator>
  <cp:lastModifiedBy>高源</cp:lastModifiedBy>
  <dcterms:created xsi:type="dcterms:W3CDTF">2022-06-14T08:51:00Z</dcterms:created>
  <dcterms:modified xsi:type="dcterms:W3CDTF">2023-12-04T02:26:02Z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07A9B6A6765146CFA357869353F78B80_13</vt:lpwstr>
  </property>
  <property fmtid="{D5CDD505-2E9C-101B-9397-08002B2CF9AE}" pid="3" name="KSOProductBuildVer">
    <vt:lpwstr>2052-12.1.0.15712</vt:lpwstr>
  </property>
</Properties>
</file>